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ty" sheetId="1" state="visible" r:id="rId1"/>
    <sheet name="Assumptions" sheetId="2" state="visible" r:id="rId2"/>
    <sheet name="Provenance" sheetId="3" state="visible" r:id="rId3"/>
    <sheet name="Statements" sheetId="4" state="visible" r:id="rId4"/>
    <sheet name="TieO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onsolas"/>
      <sz val="10"/>
    </font>
    <font>
      <name val="Calibri"/>
      <i val="1"/>
      <color rgb="005D5D60"/>
      <sz val="9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2C455D"/>
      </patternFill>
    </fill>
    <fill>
      <patternFill patternType="solid">
        <fgColor rgb="00D6EBFF"/>
      </patternFill>
    </fill>
  </fills>
  <borders count="2">
    <border>
      <left/>
      <right/>
      <top/>
      <bottom/>
      <diagonal/>
    </border>
    <border>
      <bottom style="thin">
        <color rgb="00B7B7B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right"/>
    </xf>
    <xf numFmtId="0" fontId="4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schemaVersion</t>
        </is>
      </c>
      <c r="B2" s="3" t="inlineStr">
        <is>
          <t>1.0</t>
        </is>
      </c>
      <c r="C2" s="4" t="inlineStr"/>
    </row>
    <row r="3">
      <c r="A3" s="2" t="inlineStr">
        <is>
          <t>id</t>
        </is>
      </c>
      <c r="B3" s="3" t="inlineStr">
        <is>
          <t>P01</t>
        </is>
      </c>
      <c r="C3" s="4" t="inlineStr"/>
    </row>
    <row r="4">
      <c r="A4" s="2" t="inlineStr">
        <is>
          <t>name</t>
        </is>
      </c>
      <c r="B4" s="3" t="inlineStr">
        <is>
          <t>Almonte Solar</t>
        </is>
      </c>
      <c r="C4" s="4" t="inlineStr"/>
    </row>
    <row r="5">
      <c r="A5" s="2" t="inlineStr">
        <is>
          <t>location.country</t>
        </is>
      </c>
      <c r="B5" s="3" t="inlineStr">
        <is>
          <t>Spain</t>
        </is>
      </c>
      <c r="C5" s="4" t="inlineStr"/>
    </row>
    <row r="6">
      <c r="A6" s="2" t="inlineStr">
        <is>
          <t>location.countryCode</t>
        </is>
      </c>
      <c r="B6" s="3" t="inlineStr">
        <is>
          <t>ES</t>
        </is>
      </c>
      <c r="C6" s="4" t="inlineStr"/>
    </row>
    <row r="7">
      <c r="A7" s="2" t="inlineStr">
        <is>
          <t>location.iso3</t>
        </is>
      </c>
      <c r="B7" s="3" t="inlineStr">
        <is>
          <t>ESP</t>
        </is>
      </c>
      <c r="C7" s="4" t="inlineStr"/>
    </row>
    <row r="8">
      <c r="A8" s="2" t="inlineStr">
        <is>
          <t>location.lat</t>
        </is>
      </c>
      <c r="B8" s="3" t="n">
        <v>39.25</v>
      </c>
      <c r="C8" s="4" t="inlineStr">
        <is>
          <t>degrees</t>
        </is>
      </c>
    </row>
    <row r="9">
      <c r="A9" s="2" t="inlineStr">
        <is>
          <t>location.lon</t>
        </is>
      </c>
      <c r="B9" s="3" t="n">
        <v>-6.52</v>
      </c>
      <c r="C9" s="4" t="inlineStr">
        <is>
          <t>degrees</t>
        </is>
      </c>
    </row>
    <row r="10">
      <c r="A10" s="2" t="inlineStr">
        <is>
          <t>asset.technology</t>
        </is>
      </c>
      <c r="B10" s="3" t="inlineStr">
        <is>
          <t>solar</t>
        </is>
      </c>
      <c r="C10" s="4" t="inlineStr"/>
    </row>
    <row r="11">
      <c r="A11" s="2" t="inlineStr">
        <is>
          <t>asset.stage</t>
        </is>
      </c>
      <c r="B11" s="3" t="inlineStr">
        <is>
          <t>ready_to_build</t>
        </is>
      </c>
      <c r="C11" s="4" t="inlineStr"/>
    </row>
    <row r="12">
      <c r="A12" s="2" t="inlineStr">
        <is>
          <t>asset.capacityMw</t>
        </is>
      </c>
      <c r="B12" s="3" t="n">
        <v>180</v>
      </c>
      <c r="C12" s="4" t="inlineStr">
        <is>
          <t>MW</t>
        </is>
      </c>
    </row>
    <row r="13">
      <c r="A13" s="2" t="inlineStr">
        <is>
          <t>asset.codYear</t>
        </is>
      </c>
      <c r="B13" s="3" t="n">
        <v>2028</v>
      </c>
      <c r="C13" s="4" t="inlineStr">
        <is>
          <t>year</t>
        </is>
      </c>
    </row>
    <row r="14">
      <c r="A14" s="2" t="inlineStr">
        <is>
          <t>asset.netCapacityFactor</t>
        </is>
      </c>
      <c r="B14" s="3" t="n">
        <v>0.230324</v>
      </c>
      <c r="C14" s="4" t="inlineStr">
        <is>
          <t>fraction</t>
        </is>
      </c>
    </row>
    <row r="15">
      <c r="A15" s="2" t="inlineStr">
        <is>
          <t>asset.opexPerKwYear</t>
        </is>
      </c>
      <c r="B15" s="3" t="n">
        <v>12.813182</v>
      </c>
      <c r="C15" s="4" t="inlineStr">
        <is>
          <t>EUR/kW/yr</t>
        </is>
      </c>
    </row>
    <row r="16">
      <c r="A16" s="2" t="inlineStr">
        <is>
          <t>revenue.ppaShare</t>
        </is>
      </c>
      <c r="B16" s="3" t="n">
        <v>0.55</v>
      </c>
      <c r="C16" s="4" t="inlineStr">
        <is>
          <t>fraction</t>
        </is>
      </c>
    </row>
    <row r="17">
      <c r="A17" s="2" t="inlineStr">
        <is>
          <t>revenue.ppaPrice</t>
        </is>
      </c>
      <c r="B17" s="3" t="n">
        <v>34</v>
      </c>
      <c r="C17" s="4" t="inlineStr">
        <is>
          <t>EUR/MWh</t>
        </is>
      </c>
    </row>
    <row r="18">
      <c r="A18" s="2" t="inlineStr">
        <is>
          <t>revenue.ppaTenorYears</t>
        </is>
      </c>
      <c r="B18" s="3" t="n">
        <v>10</v>
      </c>
      <c r="C18" s="4" t="inlineStr">
        <is>
          <t>years</t>
        </is>
      </c>
    </row>
    <row r="19">
      <c r="A19" s="2" t="inlineStr">
        <is>
          <t>revenue.countryBaseloadPrice</t>
        </is>
      </c>
      <c r="B19" s="3" t="n">
        <v>58</v>
      </c>
      <c r="C19" s="4" t="inlineStr">
        <is>
          <t>EUR/MWh</t>
        </is>
      </c>
    </row>
    <row r="20">
      <c r="A20" s="2" t="inlineStr">
        <is>
          <t>revenue.captureFactor</t>
        </is>
      </c>
      <c r="B20" s="3" t="n">
        <v>0.68</v>
      </c>
      <c r="C20" s="4" t="inlineStr">
        <is>
          <t>fraction</t>
        </is>
      </c>
    </row>
    <row r="21">
      <c r="A21" s="2" t="inlineStr">
        <is>
          <t>execution.developmentRiskScore</t>
        </is>
      </c>
      <c r="B21" s="3" t="n">
        <v>2.7</v>
      </c>
      <c r="C21" s="4" t="inlineStr">
        <is>
          <t>1.0-5.0</t>
        </is>
      </c>
    </row>
    <row r="22">
      <c r="A22" s="2" t="inlineStr">
        <is>
          <t>execution.gridSecured</t>
        </is>
      </c>
      <c r="B22" s="3" t="b">
        <v>1</v>
      </c>
      <c r="C22" s="4" t="inlineStr"/>
    </row>
    <row r="23">
      <c r="A23" s="2" t="inlineStr">
        <is>
          <t>execution.omContracted</t>
        </is>
      </c>
      <c r="B23" s="3" t="b">
        <v>1</v>
      </c>
      <c r="C23" s="4" t="inlineStr"/>
    </row>
    <row r="24">
      <c r="A24" s="2" t="inlineStr">
        <is>
          <t>execution.currency</t>
        </is>
      </c>
      <c r="B24" s="3" t="inlineStr">
        <is>
          <t>EUR</t>
        </is>
      </c>
      <c r="C24" s="4" t="inlineStr"/>
    </row>
    <row r="25">
      <c r="A25" s="2" t="inlineStr">
        <is>
          <t>capitalStructure.totalCapex</t>
        </is>
      </c>
      <c r="B25" s="3" t="n">
        <v>103.322563</v>
      </c>
      <c r="C25" s="4" t="inlineStr">
        <is>
          <t>EURm</t>
        </is>
      </c>
    </row>
    <row r="26">
      <c r="A26" s="2" t="inlineStr">
        <is>
          <t>capitalStructure.seniorDebt</t>
        </is>
      </c>
      <c r="B26" s="3" t="n">
        <v>74.392246</v>
      </c>
      <c r="C26" s="4" t="inlineStr">
        <is>
          <t>EURm</t>
        </is>
      </c>
    </row>
    <row r="27">
      <c r="A27" s="2" t="inlineStr">
        <is>
          <t>capitalStructure.maxGearing</t>
        </is>
      </c>
      <c r="B27" s="3" t="n">
        <v>0.72</v>
      </c>
      <c r="C27" s="4" t="inlineStr">
        <is>
          <t>fraction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assumptions.baseYear</t>
        </is>
      </c>
      <c r="B2" s="3" t="n">
        <v>2027</v>
      </c>
      <c r="C2" s="4" t="inlineStr">
        <is>
          <t>year</t>
        </is>
      </c>
    </row>
    <row r="3">
      <c r="A3" s="2" t="inlineStr">
        <is>
          <t>assumptions.taxRate</t>
        </is>
      </c>
      <c r="B3" s="3" t="n">
        <v>0.2</v>
      </c>
      <c r="C3" s="4" t="inlineStr">
        <is>
          <t>fraction</t>
        </is>
      </c>
    </row>
    <row r="4">
      <c r="A4" s="2" t="inlineStr">
        <is>
          <t>assumptions.depreciationYears</t>
        </is>
      </c>
      <c r="B4" s="3" t="n">
        <v>25</v>
      </c>
      <c r="C4" s="4" t="inlineStr">
        <is>
          <t>years</t>
        </is>
      </c>
    </row>
    <row r="5">
      <c r="A5" s="2" t="inlineStr">
        <is>
          <t>assumptions.debtRate</t>
        </is>
      </c>
      <c r="B5" s="3" t="n">
        <v>0.055</v>
      </c>
      <c r="C5" s="4" t="inlineStr">
        <is>
          <t>fraction</t>
        </is>
      </c>
    </row>
    <row r="6">
      <c r="A6" s="2" t="inlineStr">
        <is>
          <t>assumptions.debtTenorYears</t>
        </is>
      </c>
      <c r="B6" s="3" t="n">
        <v>18</v>
      </c>
      <c r="C6" s="4" t="inlineStr">
        <is>
          <t>years</t>
        </is>
      </c>
    </row>
    <row r="8">
      <c r="A8" s="5" t="inlineStr">
        <is>
          <t>Declared inputs, not configuration. The loader's dispersion report compares these across the pipeline.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72" customWidth="1" min="4" max="4"/>
  </cols>
  <sheetData>
    <row r="1">
      <c r="A1" s="1" t="inlineStr">
        <is>
          <t>group</t>
        </is>
      </c>
      <c r="B1" s="1" t="inlineStr">
        <is>
          <t>estimateBasis</t>
        </is>
      </c>
      <c r="C1" s="1" t="inlineStr">
        <is>
          <t>confidence</t>
        </is>
      </c>
      <c r="D1" s="1" t="inlineStr">
        <is>
          <t>note</t>
        </is>
      </c>
    </row>
    <row r="2">
      <c r="A2" s="2" t="inlineStr">
        <is>
          <t>provenance.preparedBy</t>
        </is>
      </c>
      <c r="B2" t="inlineStr">
        <is>
          <t>iberia.origination@meridiancapital.example</t>
        </is>
      </c>
    </row>
    <row r="3">
      <c r="A3" s="2" t="inlineStr">
        <is>
          <t>provenance.preparedOn</t>
        </is>
      </c>
      <c r="B3" t="inlineStr">
        <is>
          <t>2026-08-14</t>
        </is>
      </c>
    </row>
    <row r="4">
      <c r="A4" s="2" t="inlineStr">
        <is>
          <t>provenance.modelVersion</t>
        </is>
      </c>
      <c r="B4" t="inlineStr">
        <is>
          <t>almonte-rtb-v4</t>
        </is>
      </c>
    </row>
    <row r="5">
      <c r="A5" s="5" t="inlineStr">
        <is>
          <t>per field group</t>
        </is>
      </c>
    </row>
    <row r="6">
      <c r="A6" s="2" t="inlineStr">
        <is>
          <t>generation</t>
        </is>
      </c>
      <c r="B6" s="4" t="inlineStr">
        <is>
          <t>engineering_estimate</t>
        </is>
      </c>
      <c r="C6" s="4" t="inlineStr">
        <is>
          <t>high</t>
        </is>
      </c>
      <c r="D6" s="6" t="inlineStr">
        <is>
          <t>P50 from a third-party yield study, two years of on-site pyranometer data.</t>
        </is>
      </c>
    </row>
    <row r="7">
      <c r="A7" s="2" t="inlineStr">
        <is>
          <t>price</t>
        </is>
      </c>
      <c r="B7" s="4" t="inlineStr">
        <is>
          <t>contracted</t>
        </is>
      </c>
      <c r="C7" s="4" t="inlineStr">
        <is>
          <t>high</t>
        </is>
      </c>
      <c r="D7" s="6" t="inlineStr">
        <is>
          <t>55% under a signed 10-year PPA; merchant tail from the house Iberian curve.</t>
        </is>
      </c>
    </row>
    <row r="8">
      <c r="A8" s="2" t="inlineStr">
        <is>
          <t>capex</t>
        </is>
      </c>
      <c r="B8" s="4" t="inlineStr">
        <is>
          <t>binding_offer</t>
        </is>
      </c>
      <c r="C8" s="4" t="inlineStr">
        <is>
          <t>medium</t>
        </is>
      </c>
      <c r="D8" s="6" t="inlineStr">
        <is>
          <t>EPC offer valid to 2027-03; BoP and grid works at engineering estimate.</t>
        </is>
      </c>
    </row>
    <row r="9">
      <c r="A9" s="2" t="inlineStr">
        <is>
          <t>opex</t>
        </is>
      </c>
      <c r="B9" s="4" t="inlineStr">
        <is>
          <t>benchmark</t>
        </is>
      </c>
      <c r="C9" s="4" t="inlineStr">
        <is>
          <t>medium</t>
        </is>
      </c>
      <c r="D9" s="6" t="inlineStr">
        <is>
          <t>Iberian utility-scale PV benchmark, adjusted for single-axis tracking.</t>
        </is>
      </c>
    </row>
    <row r="10">
      <c r="A10" s="2" t="inlineStr">
        <is>
          <t>debtTerms</t>
        </is>
      </c>
      <c r="B10" s="4" t="inlineStr">
        <is>
          <t>binding_offer</t>
        </is>
      </c>
      <c r="C10" s="4" t="inlineStr">
        <is>
          <t>medium</t>
        </is>
      </c>
      <c r="D10" s="6" t="inlineStr">
        <is>
          <t>Indicative term sheet from two lenders; margin not yet fixed.</t>
        </is>
      </c>
    </row>
    <row r="11">
      <c r="A11" s="2" t="inlineStr">
        <is>
          <t>grid</t>
        </is>
      </c>
      <c r="B11" s="4" t="inlineStr">
        <is>
          <t>contracted</t>
        </is>
      </c>
      <c r="C11" s="4" t="inlineStr">
        <is>
          <t>high</t>
        </is>
      </c>
      <c r="D11" s="6" t="inlineStr">
        <is>
          <t>Firm connection agreement signed 2025-11.</t>
        </is>
      </c>
    </row>
    <row r="12">
      <c r="A12" s="2" t="inlineStr">
        <is>
          <t>om</t>
        </is>
      </c>
      <c r="B12" s="4" t="inlineStr">
        <is>
          <t>contracted</t>
        </is>
      </c>
      <c r="C12" s="4" t="inlineStr">
        <is>
          <t>high</t>
        </is>
      </c>
      <c r="D12" s="6" t="inlineStr">
        <is>
          <t>Ten-year full-scope O&amp;M agreement signed with the EPC contractor.</t>
        </is>
      </c>
    </row>
    <row r="14">
      <c r="A14" s="5" t="inlineStr">
        <is>
          <t>estimateBasis: contracted | binding_offer | engineering_estimate | benchmark | internal_model | placeholder.  confidence: high | medium | low.  Reported, never blocking.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field</t>
        </is>
      </c>
      <c r="B1" s="1" t="inlineStr">
        <is>
          <t>unit</t>
        </is>
      </c>
      <c r="C1" s="7" t="n">
        <v>2027</v>
      </c>
      <c r="D1" s="7" t="n">
        <v>2028</v>
      </c>
      <c r="E1" s="7" t="n">
        <v>2029</v>
      </c>
      <c r="F1" s="7" t="n">
        <v>2030</v>
      </c>
      <c r="G1" s="7" t="n">
        <v>2031</v>
      </c>
      <c r="H1" s="7" t="n">
        <v>2032</v>
      </c>
      <c r="I1" s="7" t="n">
        <v>2033</v>
      </c>
      <c r="J1" s="7" t="n">
        <v>2034</v>
      </c>
      <c r="K1" s="7" t="n">
        <v>2035</v>
      </c>
      <c r="L1" s="7" t="n">
        <v>2036</v>
      </c>
      <c r="M1" s="7" t="n">
        <v>2037</v>
      </c>
      <c r="N1" s="7" t="n">
        <v>2038</v>
      </c>
      <c r="O1" s="7" t="n">
        <v>2039</v>
      </c>
      <c r="P1" s="7" t="n">
        <v>2040</v>
      </c>
      <c r="Q1" s="7" t="n">
        <v>2041</v>
      </c>
      <c r="R1" s="7" t="n">
        <v>2042</v>
      </c>
      <c r="S1" s="7" t="n">
        <v>2043</v>
      </c>
      <c r="T1" s="7" t="n">
        <v>2044</v>
      </c>
      <c r="U1" s="7" t="n">
        <v>2045</v>
      </c>
      <c r="V1" s="7" t="n">
        <v>2046</v>
      </c>
      <c r="W1" s="7" t="n">
        <v>2047</v>
      </c>
      <c r="X1" s="7" t="n">
        <v>2048</v>
      </c>
      <c r="Y1" s="7" t="n">
        <v>2049</v>
      </c>
      <c r="Z1" s="7" t="n">
        <v>2050</v>
      </c>
      <c r="AA1" s="7" t="n">
        <v>2051</v>
      </c>
      <c r="AB1" s="7" t="n">
        <v>2052</v>
      </c>
      <c r="AC1" s="7" t="n">
        <v>2053</v>
      </c>
      <c r="AD1" s="7" t="n">
        <v>2054</v>
      </c>
      <c r="AE1" s="7" t="n">
        <v>2055</v>
      </c>
      <c r="AF1" s="7" t="n">
        <v>2056</v>
      </c>
    </row>
    <row r="2">
      <c r="A2" s="8" t="inlineStr">
        <is>
          <t>physicals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</row>
    <row r="3">
      <c r="A3" s="10" t="inlineStr">
        <is>
          <t>physicals.generationGwh</t>
        </is>
      </c>
      <c r="B3" t="inlineStr">
        <is>
          <t>GWh</t>
        </is>
      </c>
      <c r="C3" s="11" t="n">
        <v>0</v>
      </c>
      <c r="D3" s="11" t="n">
        <v>199.746237</v>
      </c>
      <c r="E3" s="11" t="n">
        <v>361.359102</v>
      </c>
      <c r="F3" s="11" t="n">
        <v>359.552307</v>
      </c>
      <c r="G3" s="11" t="n">
        <v>357.754545</v>
      </c>
      <c r="H3" s="11" t="n">
        <v>355.965772</v>
      </c>
      <c r="I3" s="11" t="n">
        <v>354.185944</v>
      </c>
      <c r="J3" s="11" t="n">
        <v>352.415014</v>
      </c>
      <c r="K3" s="11" t="n">
        <v>350.652939</v>
      </c>
      <c r="L3" s="11" t="n">
        <v>348.899674</v>
      </c>
      <c r="M3" s="11" t="n">
        <v>347.155176</v>
      </c>
      <c r="N3" s="11" t="n">
        <v>345.4194</v>
      </c>
      <c r="O3" s="11" t="n">
        <v>343.692303</v>
      </c>
      <c r="P3" s="11" t="n">
        <v>341.973841</v>
      </c>
      <c r="Q3" s="11" t="n">
        <v>340.263972</v>
      </c>
      <c r="R3" s="11" t="n">
        <v>338.562652</v>
      </c>
      <c r="S3" s="11" t="n">
        <v>336.869839</v>
      </c>
      <c r="T3" s="11" t="n">
        <v>335.18549</v>
      </c>
      <c r="U3" s="11" t="n">
        <v>333.509562</v>
      </c>
      <c r="V3" s="11" t="n">
        <v>331.842015</v>
      </c>
      <c r="W3" s="11" t="n">
        <v>330.182804</v>
      </c>
      <c r="X3" s="11" t="n">
        <v>328.53189</v>
      </c>
      <c r="Y3" s="11" t="n">
        <v>326.889231</v>
      </c>
      <c r="Z3" s="11" t="n">
        <v>325.254785</v>
      </c>
      <c r="AA3" s="11" t="n">
        <v>323.628511</v>
      </c>
      <c r="AB3" s="11" t="n">
        <v>322.010368</v>
      </c>
      <c r="AC3" s="11" t="n">
        <v>320.400317</v>
      </c>
      <c r="AD3" s="11" t="n">
        <v>318.798315</v>
      </c>
      <c r="AE3" s="11" t="n">
        <v>317.204323</v>
      </c>
      <c r="AF3" s="11" t="n">
        <v>315.618302</v>
      </c>
    </row>
    <row r="4">
      <c r="A4" s="10" t="inlineStr">
        <is>
          <t>physicals.achievedPrice</t>
        </is>
      </c>
      <c r="B4" t="inlineStr">
        <is>
          <t>EUR/MWh</t>
        </is>
      </c>
      <c r="C4" s="11" t="n">
        <v>0</v>
      </c>
      <c r="D4" s="11" t="n">
        <v>36.25</v>
      </c>
      <c r="E4" s="11" t="n">
        <v>36.71205</v>
      </c>
      <c r="F4" s="11" t="n">
        <v>37.182307</v>
      </c>
      <c r="G4" s="11" t="n">
        <v>37.660936</v>
      </c>
      <c r="H4" s="11" t="n">
        <v>38.148105</v>
      </c>
      <c r="I4" s="11" t="n">
        <v>38.643986</v>
      </c>
      <c r="J4" s="11" t="n">
        <v>39.148755</v>
      </c>
      <c r="K4" s="11" t="n">
        <v>39.66259</v>
      </c>
      <c r="L4" s="11" t="n">
        <v>40.185674</v>
      </c>
      <c r="M4" s="11" t="n">
        <v>40.718193</v>
      </c>
      <c r="N4" s="11" t="n">
        <v>48.00893</v>
      </c>
      <c r="O4" s="11" t="n">
        <v>49.017118</v>
      </c>
      <c r="P4" s="11" t="n">
        <v>50.046477</v>
      </c>
      <c r="Q4" s="11" t="n">
        <v>51.097453</v>
      </c>
      <c r="R4" s="11" t="n">
        <v>52.1705</v>
      </c>
      <c r="S4" s="11" t="n">
        <v>53.26608</v>
      </c>
      <c r="T4" s="11" t="n">
        <v>54.384668</v>
      </c>
      <c r="U4" s="11" t="n">
        <v>55.526746</v>
      </c>
      <c r="V4" s="11" t="n">
        <v>56.692808</v>
      </c>
      <c r="W4" s="11" t="n">
        <v>57.883356</v>
      </c>
      <c r="X4" s="11" t="n">
        <v>59.098907</v>
      </c>
      <c r="Y4" s="11" t="n">
        <v>60.339984</v>
      </c>
      <c r="Z4" s="11" t="n">
        <v>61.607124</v>
      </c>
      <c r="AA4" s="11" t="n">
        <v>62.900873</v>
      </c>
      <c r="AB4" s="11" t="n">
        <v>64.22179199999999</v>
      </c>
      <c r="AC4" s="11" t="n">
        <v>65.570449</v>
      </c>
      <c r="AD4" s="11" t="n">
        <v>66.947429</v>
      </c>
      <c r="AE4" s="11" t="n">
        <v>68.353325</v>
      </c>
      <c r="AF4" s="11" t="n">
        <v>69.78874500000001</v>
      </c>
    </row>
    <row r="5">
      <c r="A5" s="8" t="inlineStr">
        <is>
          <t>incomeStatement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</row>
    <row r="6">
      <c r="A6" s="10" t="inlineStr">
        <is>
          <t>incomeStatement.revenue</t>
        </is>
      </c>
      <c r="B6" t="inlineStr">
        <is>
          <t>EURm</t>
        </is>
      </c>
      <c r="C6" s="12" t="n">
        <v>0</v>
      </c>
      <c r="D6" s="12" t="n">
        <v>7.240801</v>
      </c>
      <c r="E6" s="12" t="n">
        <v>13.266233</v>
      </c>
      <c r="F6" s="12" t="n">
        <v>13.368984</v>
      </c>
      <c r="G6" s="12" t="n">
        <v>13.473371</v>
      </c>
      <c r="H6" s="12" t="n">
        <v>13.57942</v>
      </c>
      <c r="I6" s="12" t="n">
        <v>13.687157</v>
      </c>
      <c r="J6" s="12" t="n">
        <v>13.796609</v>
      </c>
      <c r="K6" s="12" t="n">
        <v>13.907804</v>
      </c>
      <c r="L6" s="12" t="n">
        <v>14.020768</v>
      </c>
      <c r="M6" s="12" t="n">
        <v>14.135532</v>
      </c>
      <c r="N6" s="12" t="n">
        <v>16.583216</v>
      </c>
      <c r="O6" s="12" t="n">
        <v>16.846806</v>
      </c>
      <c r="P6" s="12" t="n">
        <v>17.114586</v>
      </c>
      <c r="Q6" s="12" t="n">
        <v>17.386622</v>
      </c>
      <c r="R6" s="12" t="n">
        <v>17.662983</v>
      </c>
      <c r="S6" s="12" t="n">
        <v>17.943736</v>
      </c>
      <c r="T6" s="12" t="n">
        <v>18.228952</v>
      </c>
      <c r="U6" s="12" t="n">
        <v>18.518701</v>
      </c>
      <c r="V6" s="12" t="n">
        <v>18.813055</v>
      </c>
      <c r="W6" s="12" t="n">
        <v>19.112089</v>
      </c>
      <c r="X6" s="12" t="n">
        <v>19.415876</v>
      </c>
      <c r="Y6" s="12" t="n">
        <v>19.724491</v>
      </c>
      <c r="Z6" s="12" t="n">
        <v>20.038012</v>
      </c>
      <c r="AA6" s="12" t="n">
        <v>20.356516</v>
      </c>
      <c r="AB6" s="12" t="n">
        <v>20.680083</v>
      </c>
      <c r="AC6" s="12" t="n">
        <v>21.008793</v>
      </c>
      <c r="AD6" s="12" t="n">
        <v>21.342727</v>
      </c>
      <c r="AE6" s="12" t="n">
        <v>21.68197</v>
      </c>
      <c r="AF6" s="12" t="n">
        <v>22.026605</v>
      </c>
    </row>
    <row r="7">
      <c r="A7" s="10" t="inlineStr">
        <is>
          <t>incomeStatement.opex</t>
        </is>
      </c>
      <c r="B7" t="inlineStr">
        <is>
          <t>EURm</t>
        </is>
      </c>
      <c r="C7" s="12" t="n">
        <v>0</v>
      </c>
      <c r="D7" s="12" t="n">
        <v>2.306373</v>
      </c>
      <c r="E7" s="12" t="n">
        <v>2.354807</v>
      </c>
      <c r="F7" s="12" t="n">
        <v>2.404258</v>
      </c>
      <c r="G7" s="12" t="n">
        <v>2.454747</v>
      </c>
      <c r="H7" s="12" t="n">
        <v>2.506297</v>
      </c>
      <c r="I7" s="12" t="n">
        <v>2.558929</v>
      </c>
      <c r="J7" s="12" t="n">
        <v>2.612666</v>
      </c>
      <c r="K7" s="12" t="n">
        <v>2.667532</v>
      </c>
      <c r="L7" s="12" t="n">
        <v>2.723551</v>
      </c>
      <c r="M7" s="12" t="n">
        <v>2.780745</v>
      </c>
      <c r="N7" s="12" t="n">
        <v>2.839141</v>
      </c>
      <c r="O7" s="12" t="n">
        <v>2.898763</v>
      </c>
      <c r="P7" s="12" t="n">
        <v>2.959637</v>
      </c>
      <c r="Q7" s="12" t="n">
        <v>3.021789</v>
      </c>
      <c r="R7" s="12" t="n">
        <v>3.085247</v>
      </c>
      <c r="S7" s="12" t="n">
        <v>3.150037</v>
      </c>
      <c r="T7" s="12" t="n">
        <v>3.216188</v>
      </c>
      <c r="U7" s="12" t="n">
        <v>3.283728</v>
      </c>
      <c r="V7" s="12" t="n">
        <v>3.352686</v>
      </c>
      <c r="W7" s="12" t="n">
        <v>3.423092</v>
      </c>
      <c r="X7" s="12" t="n">
        <v>3.494977</v>
      </c>
      <c r="Y7" s="12" t="n">
        <v>3.568372</v>
      </c>
      <c r="Z7" s="12" t="n">
        <v>3.643308</v>
      </c>
      <c r="AA7" s="12" t="n">
        <v>3.719817</v>
      </c>
      <c r="AB7" s="12" t="n">
        <v>3.797933</v>
      </c>
      <c r="AC7" s="12" t="n">
        <v>3.87769</v>
      </c>
      <c r="AD7" s="12" t="n">
        <v>3.959121</v>
      </c>
      <c r="AE7" s="12" t="n">
        <v>4.042263</v>
      </c>
      <c r="AF7" s="12" t="n">
        <v>4.12715</v>
      </c>
    </row>
    <row r="8">
      <c r="A8" s="10" t="inlineStr">
        <is>
          <t>incomeStatement.ebitda</t>
        </is>
      </c>
      <c r="B8" t="inlineStr">
        <is>
          <t>EURm</t>
        </is>
      </c>
      <c r="C8" s="12" t="n">
        <v>0</v>
      </c>
      <c r="D8" s="12" t="n">
        <v>4.934428</v>
      </c>
      <c r="E8" s="12" t="n">
        <v>10.911427</v>
      </c>
      <c r="F8" s="12" t="n">
        <v>10.964727</v>
      </c>
      <c r="G8" s="12" t="n">
        <v>11.018624</v>
      </c>
      <c r="H8" s="12" t="n">
        <v>11.073123</v>
      </c>
      <c r="I8" s="12" t="n">
        <v>11.128228</v>
      </c>
      <c r="J8" s="12" t="n">
        <v>11.183943</v>
      </c>
      <c r="K8" s="12" t="n">
        <v>11.240271</v>
      </c>
      <c r="L8" s="12" t="n">
        <v>11.297218</v>
      </c>
      <c r="M8" s="12" t="n">
        <v>11.354786</v>
      </c>
      <c r="N8" s="12" t="n">
        <v>13.744075</v>
      </c>
      <c r="O8" s="12" t="n">
        <v>13.948043</v>
      </c>
      <c r="P8" s="12" t="n">
        <v>14.154949</v>
      </c>
      <c r="Q8" s="12" t="n">
        <v>14.364833</v>
      </c>
      <c r="R8" s="12" t="n">
        <v>14.577736</v>
      </c>
      <c r="S8" s="12" t="n">
        <v>14.793699</v>
      </c>
      <c r="T8" s="12" t="n">
        <v>15.012764</v>
      </c>
      <c r="U8" s="12" t="n">
        <v>15.234973</v>
      </c>
      <c r="V8" s="12" t="n">
        <v>15.46037</v>
      </c>
      <c r="W8" s="12" t="n">
        <v>15.688997</v>
      </c>
      <c r="X8" s="12" t="n">
        <v>15.920898</v>
      </c>
      <c r="Y8" s="12" t="n">
        <v>16.156119</v>
      </c>
      <c r="Z8" s="12" t="n">
        <v>16.394704</v>
      </c>
      <c r="AA8" s="12" t="n">
        <v>16.636699</v>
      </c>
      <c r="AB8" s="12" t="n">
        <v>16.88215</v>
      </c>
      <c r="AC8" s="12" t="n">
        <v>17.131103</v>
      </c>
      <c r="AD8" s="12" t="n">
        <v>17.383606</v>
      </c>
      <c r="AE8" s="12" t="n">
        <v>17.639707</v>
      </c>
      <c r="AF8" s="12" t="n">
        <v>17.899455</v>
      </c>
    </row>
    <row r="9">
      <c r="A9" s="10" t="inlineStr">
        <is>
          <t>incomeStatement.depreciation</t>
        </is>
      </c>
      <c r="B9" t="inlineStr">
        <is>
          <t>EURm</t>
        </is>
      </c>
      <c r="C9" s="12" t="n">
        <v>0</v>
      </c>
      <c r="D9" s="12" t="n">
        <v>4.132903</v>
      </c>
      <c r="E9" s="12" t="n">
        <v>4.132903</v>
      </c>
      <c r="F9" s="12" t="n">
        <v>4.132903</v>
      </c>
      <c r="G9" s="12" t="n">
        <v>4.132903</v>
      </c>
      <c r="H9" s="12" t="n">
        <v>4.132903</v>
      </c>
      <c r="I9" s="12" t="n">
        <v>4.132903</v>
      </c>
      <c r="J9" s="12" t="n">
        <v>4.132903</v>
      </c>
      <c r="K9" s="12" t="n">
        <v>4.132903</v>
      </c>
      <c r="L9" s="12" t="n">
        <v>4.132903</v>
      </c>
      <c r="M9" s="12" t="n">
        <v>4.132903</v>
      </c>
      <c r="N9" s="12" t="n">
        <v>4.132903</v>
      </c>
      <c r="O9" s="12" t="n">
        <v>4.132903</v>
      </c>
      <c r="P9" s="12" t="n">
        <v>4.132903</v>
      </c>
      <c r="Q9" s="12" t="n">
        <v>4.132903</v>
      </c>
      <c r="R9" s="12" t="n">
        <v>4.132903</v>
      </c>
      <c r="S9" s="12" t="n">
        <v>4.132903</v>
      </c>
      <c r="T9" s="12" t="n">
        <v>4.132903</v>
      </c>
      <c r="U9" s="12" t="n">
        <v>4.132903</v>
      </c>
      <c r="V9" s="12" t="n">
        <v>4.132903</v>
      </c>
      <c r="W9" s="12" t="n">
        <v>4.132903</v>
      </c>
      <c r="X9" s="12" t="n">
        <v>4.132903</v>
      </c>
      <c r="Y9" s="12" t="n">
        <v>4.132903</v>
      </c>
      <c r="Z9" s="12" t="n">
        <v>4.132903</v>
      </c>
      <c r="AA9" s="12" t="n">
        <v>4.132903</v>
      </c>
      <c r="AB9" s="12" t="n">
        <v>4.132903</v>
      </c>
      <c r="AC9" s="12" t="n">
        <v>0</v>
      </c>
      <c r="AD9" s="12" t="n">
        <v>0</v>
      </c>
      <c r="AE9" s="12" t="n">
        <v>0</v>
      </c>
      <c r="AF9" s="12" t="n">
        <v>0</v>
      </c>
    </row>
    <row r="10">
      <c r="A10" s="10" t="inlineStr">
        <is>
          <t>incomeStatement.ebit</t>
        </is>
      </c>
      <c r="B10" t="inlineStr">
        <is>
          <t>EURm</t>
        </is>
      </c>
      <c r="C10" s="12" t="n">
        <v>0</v>
      </c>
      <c r="D10" s="12" t="n">
        <v>0.801526</v>
      </c>
      <c r="E10" s="12" t="n">
        <v>6.778524</v>
      </c>
      <c r="F10" s="12" t="n">
        <v>6.831824</v>
      </c>
      <c r="G10" s="12" t="n">
        <v>6.885722</v>
      </c>
      <c r="H10" s="12" t="n">
        <v>6.940221</v>
      </c>
      <c r="I10" s="12" t="n">
        <v>6.995325</v>
      </c>
      <c r="J10" s="12" t="n">
        <v>7.05104</v>
      </c>
      <c r="K10" s="12" t="n">
        <v>7.107369</v>
      </c>
      <c r="L10" s="12" t="n">
        <v>7.164315</v>
      </c>
      <c r="M10" s="12" t="n">
        <v>7.221884</v>
      </c>
      <c r="N10" s="12" t="n">
        <v>9.611172</v>
      </c>
      <c r="O10" s="12" t="n">
        <v>9.815141000000001</v>
      </c>
      <c r="P10" s="12" t="n">
        <v>10.022047</v>
      </c>
      <c r="Q10" s="12" t="n">
        <v>10.231931</v>
      </c>
      <c r="R10" s="12" t="n">
        <v>10.444833</v>
      </c>
      <c r="S10" s="12" t="n">
        <v>10.660796</v>
      </c>
      <c r="T10" s="12" t="n">
        <v>10.879861</v>
      </c>
      <c r="U10" s="12" t="n">
        <v>11.102071</v>
      </c>
      <c r="V10" s="12" t="n">
        <v>11.327467</v>
      </c>
      <c r="W10" s="12" t="n">
        <v>11.556094</v>
      </c>
      <c r="X10" s="12" t="n">
        <v>11.787996</v>
      </c>
      <c r="Y10" s="12" t="n">
        <v>12.023217</v>
      </c>
      <c r="Z10" s="12" t="n">
        <v>12.261802</v>
      </c>
      <c r="AA10" s="12" t="n">
        <v>12.503796</v>
      </c>
      <c r="AB10" s="12" t="n">
        <v>12.749247</v>
      </c>
      <c r="AC10" s="12" t="n">
        <v>17.131103</v>
      </c>
      <c r="AD10" s="12" t="n">
        <v>17.383606</v>
      </c>
      <c r="AE10" s="12" t="n">
        <v>17.639707</v>
      </c>
      <c r="AF10" s="12" t="n">
        <v>17.899455</v>
      </c>
    </row>
    <row r="11">
      <c r="A11" s="10" t="inlineStr">
        <is>
          <t>incomeStatement.interestExpense</t>
        </is>
      </c>
      <c r="B11" t="inlineStr">
        <is>
          <t>EURm</t>
        </is>
      </c>
      <c r="C11" s="12" t="n">
        <v>0</v>
      </c>
      <c r="D11" s="12" t="n">
        <v>4.091574</v>
      </c>
      <c r="E11" s="12" t="n">
        <v>3.952788</v>
      </c>
      <c r="F11" s="12" t="n">
        <v>3.806369</v>
      </c>
      <c r="G11" s="12" t="n">
        <v>3.651897</v>
      </c>
      <c r="H11" s="12" t="n">
        <v>3.488928</v>
      </c>
      <c r="I11" s="12" t="n">
        <v>3.316997</v>
      </c>
      <c r="J11" s="12" t="n">
        <v>3.13561</v>
      </c>
      <c r="K11" s="12" t="n">
        <v>2.944246</v>
      </c>
      <c r="L11" s="12" t="n">
        <v>2.742357</v>
      </c>
      <c r="M11" s="12" t="n">
        <v>2.529364</v>
      </c>
      <c r="N11" s="12" t="n">
        <v>2.304657</v>
      </c>
      <c r="O11" s="12" t="n">
        <v>2.067591</v>
      </c>
      <c r="P11" s="12" t="n">
        <v>1.817486</v>
      </c>
      <c r="Q11" s="12" t="n">
        <v>1.553625</v>
      </c>
      <c r="R11" s="12" t="n">
        <v>1.275252</v>
      </c>
      <c r="S11" s="12" t="n">
        <v>0.981569</v>
      </c>
      <c r="T11" s="12" t="n">
        <v>0.671732</v>
      </c>
      <c r="U11" s="12" t="n">
        <v>0.344855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</row>
    <row r="12">
      <c r="A12" s="10" t="inlineStr">
        <is>
          <t>incomeStatement.pbt</t>
        </is>
      </c>
      <c r="B12" t="inlineStr">
        <is>
          <t>EURm</t>
        </is>
      </c>
      <c r="C12" s="12" t="n">
        <v>0</v>
      </c>
      <c r="D12" s="12" t="n">
        <v>-3.290048</v>
      </c>
      <c r="E12" s="12" t="n">
        <v>2.825737</v>
      </c>
      <c r="F12" s="12" t="n">
        <v>3.025456</v>
      </c>
      <c r="G12" s="12" t="n">
        <v>3.233825</v>
      </c>
      <c r="H12" s="12" t="n">
        <v>3.451292</v>
      </c>
      <c r="I12" s="12" t="n">
        <v>3.678328</v>
      </c>
      <c r="J12" s="12" t="n">
        <v>3.91543</v>
      </c>
      <c r="K12" s="12" t="n">
        <v>4.163123</v>
      </c>
      <c r="L12" s="12" t="n">
        <v>4.421958</v>
      </c>
      <c r="M12" s="12" t="n">
        <v>4.69252</v>
      </c>
      <c r="N12" s="12" t="n">
        <v>7.306516</v>
      </c>
      <c r="O12" s="12" t="n">
        <v>7.74755</v>
      </c>
      <c r="P12" s="12" t="n">
        <v>8.204561</v>
      </c>
      <c r="Q12" s="12" t="n">
        <v>8.678305999999999</v>
      </c>
      <c r="R12" s="12" t="n">
        <v>9.169581000000001</v>
      </c>
      <c r="S12" s="12" t="n">
        <v>9.679228</v>
      </c>
      <c r="T12" s="12" t="n">
        <v>10.208129</v>
      </c>
      <c r="U12" s="12" t="n">
        <v>10.757215</v>
      </c>
      <c r="V12" s="12" t="n">
        <v>11.327467</v>
      </c>
      <c r="W12" s="12" t="n">
        <v>11.556094</v>
      </c>
      <c r="X12" s="12" t="n">
        <v>11.787996</v>
      </c>
      <c r="Y12" s="12" t="n">
        <v>12.023217</v>
      </c>
      <c r="Z12" s="12" t="n">
        <v>12.261802</v>
      </c>
      <c r="AA12" s="12" t="n">
        <v>12.503796</v>
      </c>
      <c r="AB12" s="12" t="n">
        <v>12.749247</v>
      </c>
      <c r="AC12" s="12" t="n">
        <v>17.131103</v>
      </c>
      <c r="AD12" s="12" t="n">
        <v>17.383606</v>
      </c>
      <c r="AE12" s="12" t="n">
        <v>17.639707</v>
      </c>
      <c r="AF12" s="12" t="n">
        <v>17.899455</v>
      </c>
    </row>
    <row r="13">
      <c r="A13" s="10" t="inlineStr">
        <is>
          <t>incomeStatement.taxExpense</t>
        </is>
      </c>
      <c r="B13" t="inlineStr">
        <is>
          <t>EURm</t>
        </is>
      </c>
      <c r="C13" s="12" t="n">
        <v>0</v>
      </c>
      <c r="D13" s="12" t="n">
        <v>0</v>
      </c>
      <c r="E13" s="12" t="n">
        <v>0.565147</v>
      </c>
      <c r="F13" s="12" t="n">
        <v>0.605091</v>
      </c>
      <c r="G13" s="12" t="n">
        <v>0.646765</v>
      </c>
      <c r="H13" s="12" t="n">
        <v>0.690258</v>
      </c>
      <c r="I13" s="12" t="n">
        <v>0.735666</v>
      </c>
      <c r="J13" s="12" t="n">
        <v>0.7830859999999999</v>
      </c>
      <c r="K13" s="12" t="n">
        <v>0.8326249999999999</v>
      </c>
      <c r="L13" s="12" t="n">
        <v>0.884392</v>
      </c>
      <c r="M13" s="12" t="n">
        <v>0.938504</v>
      </c>
      <c r="N13" s="12" t="n">
        <v>1.461303</v>
      </c>
      <c r="O13" s="12" t="n">
        <v>1.54951</v>
      </c>
      <c r="P13" s="12" t="n">
        <v>1.640912</v>
      </c>
      <c r="Q13" s="12" t="n">
        <v>1.735661</v>
      </c>
      <c r="R13" s="12" t="n">
        <v>1.833916</v>
      </c>
      <c r="S13" s="12" t="n">
        <v>1.935846</v>
      </c>
      <c r="T13" s="12" t="n">
        <v>2.041626</v>
      </c>
      <c r="U13" s="12" t="n">
        <v>2.151443</v>
      </c>
      <c r="V13" s="12" t="n">
        <v>2.265493</v>
      </c>
      <c r="W13" s="12" t="n">
        <v>2.311219</v>
      </c>
      <c r="X13" s="12" t="n">
        <v>2.357599</v>
      </c>
      <c r="Y13" s="12" t="n">
        <v>2.404643</v>
      </c>
      <c r="Z13" s="12" t="n">
        <v>2.45236</v>
      </c>
      <c r="AA13" s="12" t="n">
        <v>2.500759</v>
      </c>
      <c r="AB13" s="12" t="n">
        <v>2.549849</v>
      </c>
      <c r="AC13" s="12" t="n">
        <v>3.426221</v>
      </c>
      <c r="AD13" s="12" t="n">
        <v>3.476721</v>
      </c>
      <c r="AE13" s="12" t="n">
        <v>3.527941</v>
      </c>
      <c r="AF13" s="12" t="n">
        <v>3.579891</v>
      </c>
    </row>
    <row r="14">
      <c r="A14" s="10" t="inlineStr">
        <is>
          <t>incomeStatement.netIncome</t>
        </is>
      </c>
      <c r="B14" t="inlineStr">
        <is>
          <t>EURm</t>
        </is>
      </c>
      <c r="C14" s="12" t="n">
        <v>0</v>
      </c>
      <c r="D14" s="12" t="n">
        <v>-3.290048</v>
      </c>
      <c r="E14" s="12" t="n">
        <v>2.260589</v>
      </c>
      <c r="F14" s="12" t="n">
        <v>2.420364</v>
      </c>
      <c r="G14" s="12" t="n">
        <v>2.58706</v>
      </c>
      <c r="H14" s="12" t="n">
        <v>2.761034</v>
      </c>
      <c r="I14" s="12" t="n">
        <v>2.942663</v>
      </c>
      <c r="J14" s="12" t="n">
        <v>3.132344</v>
      </c>
      <c r="K14" s="12" t="n">
        <v>3.330498</v>
      </c>
      <c r="L14" s="12" t="n">
        <v>3.537567</v>
      </c>
      <c r="M14" s="12" t="n">
        <v>3.754016</v>
      </c>
      <c r="N14" s="12" t="n">
        <v>5.845213</v>
      </c>
      <c r="O14" s="12" t="n">
        <v>6.19804</v>
      </c>
      <c r="P14" s="12" t="n">
        <v>6.563649</v>
      </c>
      <c r="Q14" s="12" t="n">
        <v>6.942645</v>
      </c>
      <c r="R14" s="12" t="n">
        <v>7.335665</v>
      </c>
      <c r="S14" s="12" t="n">
        <v>7.743382</v>
      </c>
      <c r="T14" s="12" t="n">
        <v>8.166503000000001</v>
      </c>
      <c r="U14" s="12" t="n">
        <v>8.605772</v>
      </c>
      <c r="V14" s="12" t="n">
        <v>9.061973999999999</v>
      </c>
      <c r="W14" s="12" t="n">
        <v>9.244875</v>
      </c>
      <c r="X14" s="12" t="n">
        <v>9.430396999999999</v>
      </c>
      <c r="Y14" s="12" t="n">
        <v>9.618573</v>
      </c>
      <c r="Z14" s="12" t="n">
        <v>9.809441</v>
      </c>
      <c r="AA14" s="12" t="n">
        <v>10.003037</v>
      </c>
      <c r="AB14" s="12" t="n">
        <v>10.199398</v>
      </c>
      <c r="AC14" s="12" t="n">
        <v>13.704882</v>
      </c>
      <c r="AD14" s="12" t="n">
        <v>13.906885</v>
      </c>
      <c r="AE14" s="12" t="n">
        <v>14.111766</v>
      </c>
      <c r="AF14" s="12" t="n">
        <v>14.319564</v>
      </c>
    </row>
    <row r="15">
      <c r="A15" s="8" t="inlineStr">
        <is>
          <t>cashFlow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</row>
    <row r="16">
      <c r="A16" s="10" t="inlineStr">
        <is>
          <t>cashFlow.interestPaid</t>
        </is>
      </c>
      <c r="B16" t="inlineStr">
        <is>
          <t>EURm</t>
        </is>
      </c>
      <c r="C16" s="12" t="n">
        <v>0</v>
      </c>
      <c r="D16" s="12" t="n">
        <v>4.091574</v>
      </c>
      <c r="E16" s="12" t="n">
        <v>3.952788</v>
      </c>
      <c r="F16" s="12" t="n">
        <v>3.806369</v>
      </c>
      <c r="G16" s="12" t="n">
        <v>3.651897</v>
      </c>
      <c r="H16" s="12" t="n">
        <v>3.488928</v>
      </c>
      <c r="I16" s="12" t="n">
        <v>3.316997</v>
      </c>
      <c r="J16" s="12" t="n">
        <v>3.13561</v>
      </c>
      <c r="K16" s="12" t="n">
        <v>2.944246</v>
      </c>
      <c r="L16" s="12" t="n">
        <v>2.742357</v>
      </c>
      <c r="M16" s="12" t="n">
        <v>2.529364</v>
      </c>
      <c r="N16" s="12" t="n">
        <v>2.304657</v>
      </c>
      <c r="O16" s="12" t="n">
        <v>2.067591</v>
      </c>
      <c r="P16" s="12" t="n">
        <v>1.817486</v>
      </c>
      <c r="Q16" s="12" t="n">
        <v>1.553625</v>
      </c>
      <c r="R16" s="12" t="n">
        <v>1.275252</v>
      </c>
      <c r="S16" s="12" t="n">
        <v>0.981569</v>
      </c>
      <c r="T16" s="12" t="n">
        <v>0.671732</v>
      </c>
      <c r="U16" s="12" t="n">
        <v>0.344855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</row>
    <row r="17">
      <c r="A17" s="10" t="inlineStr">
        <is>
          <t>cashFlow.debtRepayment</t>
        </is>
      </c>
      <c r="B17" t="inlineStr">
        <is>
          <t>EURm</t>
        </is>
      </c>
      <c r="C17" s="12" t="n">
        <v>0</v>
      </c>
      <c r="D17" s="12" t="n">
        <v>2.523379</v>
      </c>
      <c r="E17" s="12" t="n">
        <v>2.662165</v>
      </c>
      <c r="F17" s="12" t="n">
        <v>2.808584</v>
      </c>
      <c r="G17" s="12" t="n">
        <v>2.963056</v>
      </c>
      <c r="H17" s="12" t="n">
        <v>3.126024</v>
      </c>
      <c r="I17" s="12" t="n">
        <v>3.297955</v>
      </c>
      <c r="J17" s="12" t="n">
        <v>3.479343</v>
      </c>
      <c r="K17" s="12" t="n">
        <v>3.670706</v>
      </c>
      <c r="L17" s="12" t="n">
        <v>3.872595</v>
      </c>
      <c r="M17" s="12" t="n">
        <v>4.085588</v>
      </c>
      <c r="N17" s="12" t="n">
        <v>4.310295</v>
      </c>
      <c r="O17" s="12" t="n">
        <v>4.547362</v>
      </c>
      <c r="P17" s="12" t="n">
        <v>4.797467</v>
      </c>
      <c r="Q17" s="12" t="n">
        <v>5.061327</v>
      </c>
      <c r="R17" s="12" t="n">
        <v>5.3397</v>
      </c>
      <c r="S17" s="12" t="n">
        <v>5.633384</v>
      </c>
      <c r="T17" s="12" t="n">
        <v>5.94322</v>
      </c>
      <c r="U17" s="12" t="n">
        <v>6.270097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</row>
    <row r="18">
      <c r="A18" s="10" t="inlineStr">
        <is>
          <t>cashFlow.taxPaid</t>
        </is>
      </c>
      <c r="B18" t="inlineStr">
        <is>
          <t>EURm</t>
        </is>
      </c>
      <c r="C18" s="12" t="n">
        <v>0</v>
      </c>
      <c r="D18" s="12" t="n">
        <v>0</v>
      </c>
      <c r="E18" s="12" t="n">
        <v>0.565147</v>
      </c>
      <c r="F18" s="12" t="n">
        <v>0.605091</v>
      </c>
      <c r="G18" s="12" t="n">
        <v>0.646765</v>
      </c>
      <c r="H18" s="12" t="n">
        <v>0.690258</v>
      </c>
      <c r="I18" s="12" t="n">
        <v>0.735666</v>
      </c>
      <c r="J18" s="12" t="n">
        <v>0.7830859999999999</v>
      </c>
      <c r="K18" s="12" t="n">
        <v>0.8326249999999999</v>
      </c>
      <c r="L18" s="12" t="n">
        <v>0.884392</v>
      </c>
      <c r="M18" s="12" t="n">
        <v>0.938504</v>
      </c>
      <c r="N18" s="12" t="n">
        <v>1.461303</v>
      </c>
      <c r="O18" s="12" t="n">
        <v>1.54951</v>
      </c>
      <c r="P18" s="12" t="n">
        <v>1.640912</v>
      </c>
      <c r="Q18" s="12" t="n">
        <v>1.735661</v>
      </c>
      <c r="R18" s="12" t="n">
        <v>1.833916</v>
      </c>
      <c r="S18" s="12" t="n">
        <v>1.935846</v>
      </c>
      <c r="T18" s="12" t="n">
        <v>2.041626</v>
      </c>
      <c r="U18" s="12" t="n">
        <v>2.151443</v>
      </c>
      <c r="V18" s="12" t="n">
        <v>2.265493</v>
      </c>
      <c r="W18" s="12" t="n">
        <v>2.311219</v>
      </c>
      <c r="X18" s="12" t="n">
        <v>2.357599</v>
      </c>
      <c r="Y18" s="12" t="n">
        <v>2.404643</v>
      </c>
      <c r="Z18" s="12" t="n">
        <v>2.45236</v>
      </c>
      <c r="AA18" s="12" t="n">
        <v>2.500759</v>
      </c>
      <c r="AB18" s="12" t="n">
        <v>2.549849</v>
      </c>
      <c r="AC18" s="12" t="n">
        <v>3.426221</v>
      </c>
      <c r="AD18" s="12" t="n">
        <v>3.476721</v>
      </c>
      <c r="AE18" s="12" t="n">
        <v>3.527941</v>
      </c>
      <c r="AF18" s="12" t="n">
        <v>3.579891</v>
      </c>
    </row>
    <row r="19">
      <c r="A19" s="10" t="inlineStr">
        <is>
          <t>cashFlow.capex</t>
        </is>
      </c>
      <c r="B19" t="inlineStr">
        <is>
          <t>EURm</t>
        </is>
      </c>
      <c r="C19" s="12" t="n">
        <v>28.930318</v>
      </c>
      <c r="D19" s="12" t="n">
        <v>74.392246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</row>
    <row r="20">
      <c r="A20" s="10" t="inlineStr">
        <is>
          <t>cashFlow.debtDrawdown</t>
        </is>
      </c>
      <c r="B20" t="inlineStr">
        <is>
          <t>EURm</t>
        </is>
      </c>
      <c r="C20" s="12" t="n">
        <v>0</v>
      </c>
      <c r="D20" s="12" t="n">
        <v>74.392246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</row>
    <row r="21">
      <c r="A21" s="10" t="inlineStr">
        <is>
          <t>cashFlow.equityDrawdown</t>
        </is>
      </c>
      <c r="B21" t="inlineStr">
        <is>
          <t>EURm</t>
        </is>
      </c>
      <c r="C21" s="12" t="n">
        <v>28.930318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2" t="n">
        <v>0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</row>
    <row r="22">
      <c r="A22" s="10" t="inlineStr">
        <is>
          <t>cashFlow.fcfe</t>
        </is>
      </c>
      <c r="B22" t="inlineStr">
        <is>
          <t>EURm</t>
        </is>
      </c>
      <c r="C22" s="12" t="n">
        <v>-28.930318</v>
      </c>
      <c r="D22" s="12" t="n">
        <v>-1.680524</v>
      </c>
      <c r="E22" s="12" t="n">
        <v>3.731327</v>
      </c>
      <c r="F22" s="12" t="n">
        <v>3.744683</v>
      </c>
      <c r="G22" s="12" t="n">
        <v>3.756907</v>
      </c>
      <c r="H22" s="12" t="n">
        <v>3.767912</v>
      </c>
      <c r="I22" s="12" t="n">
        <v>3.77761</v>
      </c>
      <c r="J22" s="12" t="n">
        <v>3.785904</v>
      </c>
      <c r="K22" s="12" t="n">
        <v>3.792694</v>
      </c>
      <c r="L22" s="12" t="n">
        <v>3.797874</v>
      </c>
      <c r="M22" s="12" t="n">
        <v>3.80133</v>
      </c>
      <c r="N22" s="12" t="n">
        <v>5.66782</v>
      </c>
      <c r="O22" s="12" t="n">
        <v>5.783581</v>
      </c>
      <c r="P22" s="12" t="n">
        <v>5.899085</v>
      </c>
      <c r="Q22" s="12" t="n">
        <v>6.01422</v>
      </c>
      <c r="R22" s="12" t="n">
        <v>6.128867</v>
      </c>
      <c r="S22" s="12" t="n">
        <v>6.242901</v>
      </c>
      <c r="T22" s="12" t="n">
        <v>6.356186</v>
      </c>
      <c r="U22" s="12" t="n">
        <v>6.468578</v>
      </c>
      <c r="V22" s="12" t="n">
        <v>13.194876</v>
      </c>
      <c r="W22" s="12" t="n">
        <v>13.377778</v>
      </c>
      <c r="X22" s="12" t="n">
        <v>13.563299</v>
      </c>
      <c r="Y22" s="12" t="n">
        <v>13.751476</v>
      </c>
      <c r="Z22" s="12" t="n">
        <v>13.942344</v>
      </c>
      <c r="AA22" s="12" t="n">
        <v>14.13594</v>
      </c>
      <c r="AB22" s="12" t="n">
        <v>14.3323</v>
      </c>
      <c r="AC22" s="12" t="n">
        <v>13.704882</v>
      </c>
      <c r="AD22" s="12" t="n">
        <v>13.906885</v>
      </c>
      <c r="AE22" s="12" t="n">
        <v>14.111766</v>
      </c>
      <c r="AF22" s="12" t="n">
        <v>14.319564</v>
      </c>
    </row>
    <row r="23">
      <c r="A23" s="8" t="inlineStr">
        <is>
          <t>debtSchedule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</row>
    <row r="24">
      <c r="A24" s="10" t="inlineStr">
        <is>
          <t>debtSchedule.opening</t>
        </is>
      </c>
      <c r="B24" t="inlineStr">
        <is>
          <t>EURm</t>
        </is>
      </c>
      <c r="C24" s="12" t="n">
        <v>0</v>
      </c>
      <c r="D24" s="12" t="n">
        <v>0</v>
      </c>
      <c r="E24" s="12" t="n">
        <v>71.86886699999999</v>
      </c>
      <c r="F24" s="12" t="n">
        <v>69.20670200000001</v>
      </c>
      <c r="G24" s="12" t="n">
        <v>66.39811899999999</v>
      </c>
      <c r="H24" s="12" t="n">
        <v>63.435063</v>
      </c>
      <c r="I24" s="12" t="n">
        <v>60.309039</v>
      </c>
      <c r="J24" s="12" t="n">
        <v>57.011084</v>
      </c>
      <c r="K24" s="12" t="n">
        <v>53.531741</v>
      </c>
      <c r="L24" s="12" t="n">
        <v>49.861035</v>
      </c>
      <c r="M24" s="12" t="n">
        <v>45.98844</v>
      </c>
      <c r="N24" s="12" t="n">
        <v>41.902852</v>
      </c>
      <c r="O24" s="12" t="n">
        <v>37.592556</v>
      </c>
      <c r="P24" s="12" t="n">
        <v>33.045194</v>
      </c>
      <c r="Q24" s="12" t="n">
        <v>28.247728</v>
      </c>
      <c r="R24" s="12" t="n">
        <v>23.186401</v>
      </c>
      <c r="S24" s="12" t="n">
        <v>17.8467</v>
      </c>
      <c r="T24" s="12" t="n">
        <v>12.213317</v>
      </c>
      <c r="U24" s="12" t="n">
        <v>6.270097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</row>
    <row r="25">
      <c r="A25" s="10" t="inlineStr">
        <is>
          <t>debtSchedule.drawdown</t>
        </is>
      </c>
      <c r="B25" t="inlineStr">
        <is>
          <t>EURm</t>
        </is>
      </c>
      <c r="C25" s="12" t="n">
        <v>0</v>
      </c>
      <c r="D25" s="12" t="n">
        <v>74.392246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2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</row>
    <row r="26">
      <c r="A26" s="10" t="inlineStr">
        <is>
          <t>debtSchedule.repayment</t>
        </is>
      </c>
      <c r="B26" t="inlineStr">
        <is>
          <t>EURm</t>
        </is>
      </c>
      <c r="C26" s="12" t="n">
        <v>0</v>
      </c>
      <c r="D26" s="12" t="n">
        <v>2.523379</v>
      </c>
      <c r="E26" s="12" t="n">
        <v>2.662165</v>
      </c>
      <c r="F26" s="12" t="n">
        <v>2.808584</v>
      </c>
      <c r="G26" s="12" t="n">
        <v>2.963056</v>
      </c>
      <c r="H26" s="12" t="n">
        <v>3.126024</v>
      </c>
      <c r="I26" s="12" t="n">
        <v>3.297955</v>
      </c>
      <c r="J26" s="12" t="n">
        <v>3.479343</v>
      </c>
      <c r="K26" s="12" t="n">
        <v>3.670706</v>
      </c>
      <c r="L26" s="12" t="n">
        <v>3.872595</v>
      </c>
      <c r="M26" s="12" t="n">
        <v>4.085588</v>
      </c>
      <c r="N26" s="12" t="n">
        <v>4.310295</v>
      </c>
      <c r="O26" s="12" t="n">
        <v>4.547362</v>
      </c>
      <c r="P26" s="12" t="n">
        <v>4.797467</v>
      </c>
      <c r="Q26" s="12" t="n">
        <v>5.061327</v>
      </c>
      <c r="R26" s="12" t="n">
        <v>5.3397</v>
      </c>
      <c r="S26" s="12" t="n">
        <v>5.633384</v>
      </c>
      <c r="T26" s="12" t="n">
        <v>5.94322</v>
      </c>
      <c r="U26" s="12" t="n">
        <v>6.270097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</row>
    <row r="27">
      <c r="A27" s="10" t="inlineStr">
        <is>
          <t>debtSchedule.closing</t>
        </is>
      </c>
      <c r="B27" t="inlineStr">
        <is>
          <t>EURm</t>
        </is>
      </c>
      <c r="C27" s="12" t="n">
        <v>0</v>
      </c>
      <c r="D27" s="12" t="n">
        <v>71.86886699999999</v>
      </c>
      <c r="E27" s="12" t="n">
        <v>69.20670200000001</v>
      </c>
      <c r="F27" s="12" t="n">
        <v>66.39811899999999</v>
      </c>
      <c r="G27" s="12" t="n">
        <v>63.435063</v>
      </c>
      <c r="H27" s="12" t="n">
        <v>60.309039</v>
      </c>
      <c r="I27" s="12" t="n">
        <v>57.011084</v>
      </c>
      <c r="J27" s="12" t="n">
        <v>53.531741</v>
      </c>
      <c r="K27" s="12" t="n">
        <v>49.861035</v>
      </c>
      <c r="L27" s="12" t="n">
        <v>45.98844</v>
      </c>
      <c r="M27" s="12" t="n">
        <v>41.902852</v>
      </c>
      <c r="N27" s="12" t="n">
        <v>37.592556</v>
      </c>
      <c r="O27" s="12" t="n">
        <v>33.045194</v>
      </c>
      <c r="P27" s="12" t="n">
        <v>28.247728</v>
      </c>
      <c r="Q27" s="12" t="n">
        <v>23.186401</v>
      </c>
      <c r="R27" s="12" t="n">
        <v>17.8467</v>
      </c>
      <c r="S27" s="12" t="n">
        <v>12.213317</v>
      </c>
      <c r="T27" s="12" t="n">
        <v>6.270097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2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</row>
    <row r="28">
      <c r="A28" s="8" t="inlineStr">
        <is>
          <t>balanceSheet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</row>
    <row r="29">
      <c r="A29" s="10" t="inlineStr">
        <is>
          <t>balanceSheet.ppe</t>
        </is>
      </c>
      <c r="B29" t="inlineStr">
        <is>
          <t>EURm</t>
        </is>
      </c>
      <c r="C29" s="12" t="n">
        <v>28.930318</v>
      </c>
      <c r="D29" s="12" t="n">
        <v>99.189661</v>
      </c>
      <c r="E29" s="12" t="n">
        <v>95.056758</v>
      </c>
      <c r="F29" s="12" t="n">
        <v>90.923856</v>
      </c>
      <c r="G29" s="12" t="n">
        <v>86.790953</v>
      </c>
      <c r="H29" s="12" t="n">
        <v>82.658051</v>
      </c>
      <c r="I29" s="12" t="n">
        <v>78.525148</v>
      </c>
      <c r="J29" s="12" t="n">
        <v>74.392246</v>
      </c>
      <c r="K29" s="12" t="n">
        <v>70.259343</v>
      </c>
      <c r="L29" s="12" t="n">
        <v>66.126441</v>
      </c>
      <c r="M29" s="12" t="n">
        <v>61.993538</v>
      </c>
      <c r="N29" s="12" t="n">
        <v>57.860635</v>
      </c>
      <c r="O29" s="12" t="n">
        <v>53.727733</v>
      </c>
      <c r="P29" s="12" t="n">
        <v>49.59483</v>
      </c>
      <c r="Q29" s="12" t="n">
        <v>45.461928</v>
      </c>
      <c r="R29" s="12" t="n">
        <v>41.329025</v>
      </c>
      <c r="S29" s="12" t="n">
        <v>37.196123</v>
      </c>
      <c r="T29" s="12" t="n">
        <v>33.06322</v>
      </c>
      <c r="U29" s="12" t="n">
        <v>28.930318</v>
      </c>
      <c r="V29" s="12" t="n">
        <v>24.797415</v>
      </c>
      <c r="W29" s="12" t="n">
        <v>20.664513</v>
      </c>
      <c r="X29" s="12" t="n">
        <v>16.53161</v>
      </c>
      <c r="Y29" s="12" t="n">
        <v>12.398708</v>
      </c>
      <c r="Z29" s="12" t="n">
        <v>8.265805</v>
      </c>
      <c r="AA29" s="12" t="n">
        <v>4.132903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</row>
    <row r="30">
      <c r="A30" s="8" t="inlineStr">
        <is>
          <t>ratios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</row>
    <row r="31">
      <c r="A31" s="10" t="inlineStr">
        <is>
          <t>ratios.dscr</t>
        </is>
      </c>
      <c r="B31" t="inlineStr">
        <is>
          <t>x</t>
        </is>
      </c>
      <c r="C31" s="11" t="n"/>
      <c r="D31" s="11" t="n">
        <v>0.745951</v>
      </c>
      <c r="E31" s="11" t="n">
        <v>1.64951</v>
      </c>
      <c r="F31" s="11" t="n">
        <v>1.657567</v>
      </c>
      <c r="G31" s="11" t="n">
        <v>1.665715</v>
      </c>
      <c r="H31" s="11" t="n">
        <v>1.673954</v>
      </c>
      <c r="I31" s="11" t="n">
        <v>1.682284</v>
      </c>
      <c r="J31" s="11" t="n">
        <v>1.690706</v>
      </c>
      <c r="K31" s="11" t="n">
        <v>1.699222</v>
      </c>
      <c r="L31" s="11" t="n">
        <v>1.707831</v>
      </c>
      <c r="M31" s="11" t="n">
        <v>1.716533</v>
      </c>
      <c r="N31" s="11" t="n">
        <v>2.077729</v>
      </c>
      <c r="O31" s="11" t="n">
        <v>2.108563</v>
      </c>
      <c r="P31" s="11" t="n">
        <v>2.139841</v>
      </c>
      <c r="Q31" s="11" t="n">
        <v>2.17157</v>
      </c>
      <c r="R31" s="11" t="n">
        <v>2.203755</v>
      </c>
      <c r="S31" s="11" t="n">
        <v>2.236403</v>
      </c>
      <c r="T31" s="11" t="n">
        <v>2.26952</v>
      </c>
      <c r="U31" s="11" t="n">
        <v>2.303112</v>
      </c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</row>
    <row r="33">
      <c r="A33" s="5" t="inlineStr">
        <is>
          <t>An empty dscr cell means null: dscr is defined only inside the debt life. Every other cell is a number.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1" t="inlineStr">
        <is>
          <t>check</t>
        </is>
      </c>
      <c r="B1" s="1" t="inlineStr">
        <is>
          <t>max breach</t>
        </is>
      </c>
      <c r="C1" s="1" t="inlineStr">
        <is>
          <t>status</t>
        </is>
      </c>
      <c r="D1" s="7" t="n">
        <v>2027</v>
      </c>
      <c r="E1" s="7" t="n">
        <v>2028</v>
      </c>
      <c r="F1" s="7" t="n">
        <v>2029</v>
      </c>
      <c r="G1" s="7" t="n">
        <v>2030</v>
      </c>
      <c r="H1" s="7" t="n">
        <v>2031</v>
      </c>
      <c r="I1" s="7" t="n">
        <v>2032</v>
      </c>
      <c r="J1" s="7" t="n">
        <v>2033</v>
      </c>
      <c r="K1" s="7" t="n">
        <v>2034</v>
      </c>
      <c r="L1" s="7" t="n">
        <v>2035</v>
      </c>
      <c r="M1" s="7" t="n">
        <v>2036</v>
      </c>
      <c r="N1" s="7" t="n">
        <v>2037</v>
      </c>
      <c r="O1" s="7" t="n">
        <v>2038</v>
      </c>
      <c r="P1" s="7" t="n">
        <v>2039</v>
      </c>
      <c r="Q1" s="7" t="n">
        <v>2040</v>
      </c>
      <c r="R1" s="7" t="n">
        <v>2041</v>
      </c>
      <c r="S1" s="7" t="n">
        <v>2042</v>
      </c>
      <c r="T1" s="7" t="n">
        <v>2043</v>
      </c>
      <c r="U1" s="7" t="n">
        <v>2044</v>
      </c>
      <c r="V1" s="7" t="n">
        <v>2045</v>
      </c>
      <c r="W1" s="7" t="n">
        <v>2046</v>
      </c>
      <c r="X1" s="7" t="n">
        <v>2047</v>
      </c>
      <c r="Y1" s="7" t="n">
        <v>2048</v>
      </c>
      <c r="Z1" s="7" t="n">
        <v>2049</v>
      </c>
      <c r="AA1" s="7" t="n">
        <v>2050</v>
      </c>
      <c r="AB1" s="7" t="n">
        <v>2051</v>
      </c>
      <c r="AC1" s="7" t="n">
        <v>2052</v>
      </c>
      <c r="AD1" s="7" t="n">
        <v>2053</v>
      </c>
      <c r="AE1" s="7" t="n">
        <v>2054</v>
      </c>
      <c r="AF1" s="7" t="n">
        <v>2055</v>
      </c>
      <c r="AG1" s="7" t="n">
        <v>2056</v>
      </c>
    </row>
    <row r="2">
      <c r="A2" s="10" t="inlineStr">
        <is>
          <t>ebitda = revenue - opex</t>
        </is>
      </c>
      <c r="B2" s="13">
        <f>MAX(D2:AG2)</f>
        <v/>
      </c>
      <c r="C2">
        <f>IF(B2=0,"PASS","FAIL")</f>
        <v/>
      </c>
      <c r="D2" s="13">
        <f>MAX(0,ABS(Statements!C8-(Statements!C6-Statements!C7))-MAX(0.01,0.001*ABS(Statements!C8)))</f>
        <v/>
      </c>
      <c r="E2" s="13">
        <f>MAX(0,ABS(Statements!D8-(Statements!D6-Statements!D7))-MAX(0.01,0.001*ABS(Statements!D8)))</f>
        <v/>
      </c>
      <c r="F2" s="13">
        <f>MAX(0,ABS(Statements!E8-(Statements!E6-Statements!E7))-MAX(0.01,0.001*ABS(Statements!E8)))</f>
        <v/>
      </c>
      <c r="G2" s="13">
        <f>MAX(0,ABS(Statements!F8-(Statements!F6-Statements!F7))-MAX(0.01,0.001*ABS(Statements!F8)))</f>
        <v/>
      </c>
      <c r="H2" s="13">
        <f>MAX(0,ABS(Statements!G8-(Statements!G6-Statements!G7))-MAX(0.01,0.001*ABS(Statements!G8)))</f>
        <v/>
      </c>
      <c r="I2" s="13">
        <f>MAX(0,ABS(Statements!H8-(Statements!H6-Statements!H7))-MAX(0.01,0.001*ABS(Statements!H8)))</f>
        <v/>
      </c>
      <c r="J2" s="13">
        <f>MAX(0,ABS(Statements!I8-(Statements!I6-Statements!I7))-MAX(0.01,0.001*ABS(Statements!I8)))</f>
        <v/>
      </c>
      <c r="K2" s="13">
        <f>MAX(0,ABS(Statements!J8-(Statements!J6-Statements!J7))-MAX(0.01,0.001*ABS(Statements!J8)))</f>
        <v/>
      </c>
      <c r="L2" s="13">
        <f>MAX(0,ABS(Statements!K8-(Statements!K6-Statements!K7))-MAX(0.01,0.001*ABS(Statements!K8)))</f>
        <v/>
      </c>
      <c r="M2" s="13">
        <f>MAX(0,ABS(Statements!L8-(Statements!L6-Statements!L7))-MAX(0.01,0.001*ABS(Statements!L8)))</f>
        <v/>
      </c>
      <c r="N2" s="13">
        <f>MAX(0,ABS(Statements!M8-(Statements!M6-Statements!M7))-MAX(0.01,0.001*ABS(Statements!M8)))</f>
        <v/>
      </c>
      <c r="O2" s="13">
        <f>MAX(0,ABS(Statements!N8-(Statements!N6-Statements!N7))-MAX(0.01,0.001*ABS(Statements!N8)))</f>
        <v/>
      </c>
      <c r="P2" s="13">
        <f>MAX(0,ABS(Statements!O8-(Statements!O6-Statements!O7))-MAX(0.01,0.001*ABS(Statements!O8)))</f>
        <v/>
      </c>
      <c r="Q2" s="13">
        <f>MAX(0,ABS(Statements!P8-(Statements!P6-Statements!P7))-MAX(0.01,0.001*ABS(Statements!P8)))</f>
        <v/>
      </c>
      <c r="R2" s="13">
        <f>MAX(0,ABS(Statements!Q8-(Statements!Q6-Statements!Q7))-MAX(0.01,0.001*ABS(Statements!Q8)))</f>
        <v/>
      </c>
      <c r="S2" s="13">
        <f>MAX(0,ABS(Statements!R8-(Statements!R6-Statements!R7))-MAX(0.01,0.001*ABS(Statements!R8)))</f>
        <v/>
      </c>
      <c r="T2" s="13">
        <f>MAX(0,ABS(Statements!S8-(Statements!S6-Statements!S7))-MAX(0.01,0.001*ABS(Statements!S8)))</f>
        <v/>
      </c>
      <c r="U2" s="13">
        <f>MAX(0,ABS(Statements!T8-(Statements!T6-Statements!T7))-MAX(0.01,0.001*ABS(Statements!T8)))</f>
        <v/>
      </c>
      <c r="V2" s="13">
        <f>MAX(0,ABS(Statements!U8-(Statements!U6-Statements!U7))-MAX(0.01,0.001*ABS(Statements!U8)))</f>
        <v/>
      </c>
      <c r="W2" s="13">
        <f>MAX(0,ABS(Statements!V8-(Statements!V6-Statements!V7))-MAX(0.01,0.001*ABS(Statements!V8)))</f>
        <v/>
      </c>
      <c r="X2" s="13">
        <f>MAX(0,ABS(Statements!W8-(Statements!W6-Statements!W7))-MAX(0.01,0.001*ABS(Statements!W8)))</f>
        <v/>
      </c>
      <c r="Y2" s="13">
        <f>MAX(0,ABS(Statements!X8-(Statements!X6-Statements!X7))-MAX(0.01,0.001*ABS(Statements!X8)))</f>
        <v/>
      </c>
      <c r="Z2" s="13">
        <f>MAX(0,ABS(Statements!Y8-(Statements!Y6-Statements!Y7))-MAX(0.01,0.001*ABS(Statements!Y8)))</f>
        <v/>
      </c>
      <c r="AA2" s="13">
        <f>MAX(0,ABS(Statements!Z8-(Statements!Z6-Statements!Z7))-MAX(0.01,0.001*ABS(Statements!Z8)))</f>
        <v/>
      </c>
      <c r="AB2" s="13">
        <f>MAX(0,ABS(Statements!AA8-(Statements!AA6-Statements!AA7))-MAX(0.01,0.001*ABS(Statements!AA8)))</f>
        <v/>
      </c>
      <c r="AC2" s="13">
        <f>MAX(0,ABS(Statements!AB8-(Statements!AB6-Statements!AB7))-MAX(0.01,0.001*ABS(Statements!AB8)))</f>
        <v/>
      </c>
      <c r="AD2" s="13">
        <f>MAX(0,ABS(Statements!AC8-(Statements!AC6-Statements!AC7))-MAX(0.01,0.001*ABS(Statements!AC8)))</f>
        <v/>
      </c>
      <c r="AE2" s="13">
        <f>MAX(0,ABS(Statements!AD8-(Statements!AD6-Statements!AD7))-MAX(0.01,0.001*ABS(Statements!AD8)))</f>
        <v/>
      </c>
      <c r="AF2" s="13">
        <f>MAX(0,ABS(Statements!AE8-(Statements!AE6-Statements!AE7))-MAX(0.01,0.001*ABS(Statements!AE8)))</f>
        <v/>
      </c>
      <c r="AG2" s="13">
        <f>MAX(0,ABS(Statements!AF8-(Statements!AF6-Statements!AF7))-MAX(0.01,0.001*ABS(Statements!AF8)))</f>
        <v/>
      </c>
    </row>
    <row r="3">
      <c r="A3" s="10" t="inlineStr">
        <is>
          <t>ebit = ebitda - depreciation</t>
        </is>
      </c>
      <c r="B3" s="13">
        <f>MAX(D3:AG3)</f>
        <v/>
      </c>
      <c r="C3">
        <f>IF(B3=0,"PASS","FAIL")</f>
        <v/>
      </c>
      <c r="D3" s="13">
        <f>MAX(0,ABS(Statements!C10-(Statements!C8-Statements!C9))-MAX(0.01,0.001*ABS(Statements!C10)))</f>
        <v/>
      </c>
      <c r="E3" s="13">
        <f>MAX(0,ABS(Statements!D10-(Statements!D8-Statements!D9))-MAX(0.01,0.001*ABS(Statements!D10)))</f>
        <v/>
      </c>
      <c r="F3" s="13">
        <f>MAX(0,ABS(Statements!E10-(Statements!E8-Statements!E9))-MAX(0.01,0.001*ABS(Statements!E10)))</f>
        <v/>
      </c>
      <c r="G3" s="13">
        <f>MAX(0,ABS(Statements!F10-(Statements!F8-Statements!F9))-MAX(0.01,0.001*ABS(Statements!F10)))</f>
        <v/>
      </c>
      <c r="H3" s="13">
        <f>MAX(0,ABS(Statements!G10-(Statements!G8-Statements!G9))-MAX(0.01,0.001*ABS(Statements!G10)))</f>
        <v/>
      </c>
      <c r="I3" s="13">
        <f>MAX(0,ABS(Statements!H10-(Statements!H8-Statements!H9))-MAX(0.01,0.001*ABS(Statements!H10)))</f>
        <v/>
      </c>
      <c r="J3" s="13">
        <f>MAX(0,ABS(Statements!I10-(Statements!I8-Statements!I9))-MAX(0.01,0.001*ABS(Statements!I10)))</f>
        <v/>
      </c>
      <c r="K3" s="13">
        <f>MAX(0,ABS(Statements!J10-(Statements!J8-Statements!J9))-MAX(0.01,0.001*ABS(Statements!J10)))</f>
        <v/>
      </c>
      <c r="L3" s="13">
        <f>MAX(0,ABS(Statements!K10-(Statements!K8-Statements!K9))-MAX(0.01,0.001*ABS(Statements!K10)))</f>
        <v/>
      </c>
      <c r="M3" s="13">
        <f>MAX(0,ABS(Statements!L10-(Statements!L8-Statements!L9))-MAX(0.01,0.001*ABS(Statements!L10)))</f>
        <v/>
      </c>
      <c r="N3" s="13">
        <f>MAX(0,ABS(Statements!M10-(Statements!M8-Statements!M9))-MAX(0.01,0.001*ABS(Statements!M10)))</f>
        <v/>
      </c>
      <c r="O3" s="13">
        <f>MAX(0,ABS(Statements!N10-(Statements!N8-Statements!N9))-MAX(0.01,0.001*ABS(Statements!N10)))</f>
        <v/>
      </c>
      <c r="P3" s="13">
        <f>MAX(0,ABS(Statements!O10-(Statements!O8-Statements!O9))-MAX(0.01,0.001*ABS(Statements!O10)))</f>
        <v/>
      </c>
      <c r="Q3" s="13">
        <f>MAX(0,ABS(Statements!P10-(Statements!P8-Statements!P9))-MAX(0.01,0.001*ABS(Statements!P10)))</f>
        <v/>
      </c>
      <c r="R3" s="13">
        <f>MAX(0,ABS(Statements!Q10-(Statements!Q8-Statements!Q9))-MAX(0.01,0.001*ABS(Statements!Q10)))</f>
        <v/>
      </c>
      <c r="S3" s="13">
        <f>MAX(0,ABS(Statements!R10-(Statements!R8-Statements!R9))-MAX(0.01,0.001*ABS(Statements!R10)))</f>
        <v/>
      </c>
      <c r="T3" s="13">
        <f>MAX(0,ABS(Statements!S10-(Statements!S8-Statements!S9))-MAX(0.01,0.001*ABS(Statements!S10)))</f>
        <v/>
      </c>
      <c r="U3" s="13">
        <f>MAX(0,ABS(Statements!T10-(Statements!T8-Statements!T9))-MAX(0.01,0.001*ABS(Statements!T10)))</f>
        <v/>
      </c>
      <c r="V3" s="13">
        <f>MAX(0,ABS(Statements!U10-(Statements!U8-Statements!U9))-MAX(0.01,0.001*ABS(Statements!U10)))</f>
        <v/>
      </c>
      <c r="W3" s="13">
        <f>MAX(0,ABS(Statements!V10-(Statements!V8-Statements!V9))-MAX(0.01,0.001*ABS(Statements!V10)))</f>
        <v/>
      </c>
      <c r="X3" s="13">
        <f>MAX(0,ABS(Statements!W10-(Statements!W8-Statements!W9))-MAX(0.01,0.001*ABS(Statements!W10)))</f>
        <v/>
      </c>
      <c r="Y3" s="13">
        <f>MAX(0,ABS(Statements!X10-(Statements!X8-Statements!X9))-MAX(0.01,0.001*ABS(Statements!X10)))</f>
        <v/>
      </c>
      <c r="Z3" s="13">
        <f>MAX(0,ABS(Statements!Y10-(Statements!Y8-Statements!Y9))-MAX(0.01,0.001*ABS(Statements!Y10)))</f>
        <v/>
      </c>
      <c r="AA3" s="13">
        <f>MAX(0,ABS(Statements!Z10-(Statements!Z8-Statements!Z9))-MAX(0.01,0.001*ABS(Statements!Z10)))</f>
        <v/>
      </c>
      <c r="AB3" s="13">
        <f>MAX(0,ABS(Statements!AA10-(Statements!AA8-Statements!AA9))-MAX(0.01,0.001*ABS(Statements!AA10)))</f>
        <v/>
      </c>
      <c r="AC3" s="13">
        <f>MAX(0,ABS(Statements!AB10-(Statements!AB8-Statements!AB9))-MAX(0.01,0.001*ABS(Statements!AB10)))</f>
        <v/>
      </c>
      <c r="AD3" s="13">
        <f>MAX(0,ABS(Statements!AC10-(Statements!AC8-Statements!AC9))-MAX(0.01,0.001*ABS(Statements!AC10)))</f>
        <v/>
      </c>
      <c r="AE3" s="13">
        <f>MAX(0,ABS(Statements!AD10-(Statements!AD8-Statements!AD9))-MAX(0.01,0.001*ABS(Statements!AD10)))</f>
        <v/>
      </c>
      <c r="AF3" s="13">
        <f>MAX(0,ABS(Statements!AE10-(Statements!AE8-Statements!AE9))-MAX(0.01,0.001*ABS(Statements!AE10)))</f>
        <v/>
      </c>
      <c r="AG3" s="13">
        <f>MAX(0,ABS(Statements!AF10-(Statements!AF8-Statements!AF9))-MAX(0.01,0.001*ABS(Statements!AF10)))</f>
        <v/>
      </c>
    </row>
    <row r="4">
      <c r="A4" s="10" t="inlineStr">
        <is>
          <t>pbt = ebit - interestExpense</t>
        </is>
      </c>
      <c r="B4" s="13">
        <f>MAX(D4:AG4)</f>
        <v/>
      </c>
      <c r="C4">
        <f>IF(B4=0,"PASS","FAIL")</f>
        <v/>
      </c>
      <c r="D4" s="13">
        <f>MAX(0,ABS(Statements!C12-(Statements!C10-Statements!C11))-MAX(0.01,0.001*ABS(Statements!C12)))</f>
        <v/>
      </c>
      <c r="E4" s="13">
        <f>MAX(0,ABS(Statements!D12-(Statements!D10-Statements!D11))-MAX(0.01,0.001*ABS(Statements!D12)))</f>
        <v/>
      </c>
      <c r="F4" s="13">
        <f>MAX(0,ABS(Statements!E12-(Statements!E10-Statements!E11))-MAX(0.01,0.001*ABS(Statements!E12)))</f>
        <v/>
      </c>
      <c r="G4" s="13">
        <f>MAX(0,ABS(Statements!F12-(Statements!F10-Statements!F11))-MAX(0.01,0.001*ABS(Statements!F12)))</f>
        <v/>
      </c>
      <c r="H4" s="13">
        <f>MAX(0,ABS(Statements!G12-(Statements!G10-Statements!G11))-MAX(0.01,0.001*ABS(Statements!G12)))</f>
        <v/>
      </c>
      <c r="I4" s="13">
        <f>MAX(0,ABS(Statements!H12-(Statements!H10-Statements!H11))-MAX(0.01,0.001*ABS(Statements!H12)))</f>
        <v/>
      </c>
      <c r="J4" s="13">
        <f>MAX(0,ABS(Statements!I12-(Statements!I10-Statements!I11))-MAX(0.01,0.001*ABS(Statements!I12)))</f>
        <v/>
      </c>
      <c r="K4" s="13">
        <f>MAX(0,ABS(Statements!J12-(Statements!J10-Statements!J11))-MAX(0.01,0.001*ABS(Statements!J12)))</f>
        <v/>
      </c>
      <c r="L4" s="13">
        <f>MAX(0,ABS(Statements!K12-(Statements!K10-Statements!K11))-MAX(0.01,0.001*ABS(Statements!K12)))</f>
        <v/>
      </c>
      <c r="M4" s="13">
        <f>MAX(0,ABS(Statements!L12-(Statements!L10-Statements!L11))-MAX(0.01,0.001*ABS(Statements!L12)))</f>
        <v/>
      </c>
      <c r="N4" s="13">
        <f>MAX(0,ABS(Statements!M12-(Statements!M10-Statements!M11))-MAX(0.01,0.001*ABS(Statements!M12)))</f>
        <v/>
      </c>
      <c r="O4" s="13">
        <f>MAX(0,ABS(Statements!N12-(Statements!N10-Statements!N11))-MAX(0.01,0.001*ABS(Statements!N12)))</f>
        <v/>
      </c>
      <c r="P4" s="13">
        <f>MAX(0,ABS(Statements!O12-(Statements!O10-Statements!O11))-MAX(0.01,0.001*ABS(Statements!O12)))</f>
        <v/>
      </c>
      <c r="Q4" s="13">
        <f>MAX(0,ABS(Statements!P12-(Statements!P10-Statements!P11))-MAX(0.01,0.001*ABS(Statements!P12)))</f>
        <v/>
      </c>
      <c r="R4" s="13">
        <f>MAX(0,ABS(Statements!Q12-(Statements!Q10-Statements!Q11))-MAX(0.01,0.001*ABS(Statements!Q12)))</f>
        <v/>
      </c>
      <c r="S4" s="13">
        <f>MAX(0,ABS(Statements!R12-(Statements!R10-Statements!R11))-MAX(0.01,0.001*ABS(Statements!R12)))</f>
        <v/>
      </c>
      <c r="T4" s="13">
        <f>MAX(0,ABS(Statements!S12-(Statements!S10-Statements!S11))-MAX(0.01,0.001*ABS(Statements!S12)))</f>
        <v/>
      </c>
      <c r="U4" s="13">
        <f>MAX(0,ABS(Statements!T12-(Statements!T10-Statements!T11))-MAX(0.01,0.001*ABS(Statements!T12)))</f>
        <v/>
      </c>
      <c r="V4" s="13">
        <f>MAX(0,ABS(Statements!U12-(Statements!U10-Statements!U11))-MAX(0.01,0.001*ABS(Statements!U12)))</f>
        <v/>
      </c>
      <c r="W4" s="13">
        <f>MAX(0,ABS(Statements!V12-(Statements!V10-Statements!V11))-MAX(0.01,0.001*ABS(Statements!V12)))</f>
        <v/>
      </c>
      <c r="X4" s="13">
        <f>MAX(0,ABS(Statements!W12-(Statements!W10-Statements!W11))-MAX(0.01,0.001*ABS(Statements!W12)))</f>
        <v/>
      </c>
      <c r="Y4" s="13">
        <f>MAX(0,ABS(Statements!X12-(Statements!X10-Statements!X11))-MAX(0.01,0.001*ABS(Statements!X12)))</f>
        <v/>
      </c>
      <c r="Z4" s="13">
        <f>MAX(0,ABS(Statements!Y12-(Statements!Y10-Statements!Y11))-MAX(0.01,0.001*ABS(Statements!Y12)))</f>
        <v/>
      </c>
      <c r="AA4" s="13">
        <f>MAX(0,ABS(Statements!Z12-(Statements!Z10-Statements!Z11))-MAX(0.01,0.001*ABS(Statements!Z12)))</f>
        <v/>
      </c>
      <c r="AB4" s="13">
        <f>MAX(0,ABS(Statements!AA12-(Statements!AA10-Statements!AA11))-MAX(0.01,0.001*ABS(Statements!AA12)))</f>
        <v/>
      </c>
      <c r="AC4" s="13">
        <f>MAX(0,ABS(Statements!AB12-(Statements!AB10-Statements!AB11))-MAX(0.01,0.001*ABS(Statements!AB12)))</f>
        <v/>
      </c>
      <c r="AD4" s="13">
        <f>MAX(0,ABS(Statements!AC12-(Statements!AC10-Statements!AC11))-MAX(0.01,0.001*ABS(Statements!AC12)))</f>
        <v/>
      </c>
      <c r="AE4" s="13">
        <f>MAX(0,ABS(Statements!AD12-(Statements!AD10-Statements!AD11))-MAX(0.01,0.001*ABS(Statements!AD12)))</f>
        <v/>
      </c>
      <c r="AF4" s="13">
        <f>MAX(0,ABS(Statements!AE12-(Statements!AE10-Statements!AE11))-MAX(0.01,0.001*ABS(Statements!AE12)))</f>
        <v/>
      </c>
      <c r="AG4" s="13">
        <f>MAX(0,ABS(Statements!AF12-(Statements!AF10-Statements!AF11))-MAX(0.01,0.001*ABS(Statements!AF12)))</f>
        <v/>
      </c>
    </row>
    <row r="5">
      <c r="A5" s="10" t="inlineStr">
        <is>
          <t>netIncome = pbt - taxExpense</t>
        </is>
      </c>
      <c r="B5" s="13">
        <f>MAX(D5:AG5)</f>
        <v/>
      </c>
      <c r="C5">
        <f>IF(B5=0,"PASS","FAIL")</f>
        <v/>
      </c>
      <c r="D5" s="13">
        <f>MAX(0,ABS(Statements!C14-(Statements!C12-Statements!C13))-MAX(0.01,0.001*ABS(Statements!C14)))</f>
        <v/>
      </c>
      <c r="E5" s="13">
        <f>MAX(0,ABS(Statements!D14-(Statements!D12-Statements!D13))-MAX(0.01,0.001*ABS(Statements!D14)))</f>
        <v/>
      </c>
      <c r="F5" s="13">
        <f>MAX(0,ABS(Statements!E14-(Statements!E12-Statements!E13))-MAX(0.01,0.001*ABS(Statements!E14)))</f>
        <v/>
      </c>
      <c r="G5" s="13">
        <f>MAX(0,ABS(Statements!F14-(Statements!F12-Statements!F13))-MAX(0.01,0.001*ABS(Statements!F14)))</f>
        <v/>
      </c>
      <c r="H5" s="13">
        <f>MAX(0,ABS(Statements!G14-(Statements!G12-Statements!G13))-MAX(0.01,0.001*ABS(Statements!G14)))</f>
        <v/>
      </c>
      <c r="I5" s="13">
        <f>MAX(0,ABS(Statements!H14-(Statements!H12-Statements!H13))-MAX(0.01,0.001*ABS(Statements!H14)))</f>
        <v/>
      </c>
      <c r="J5" s="13">
        <f>MAX(0,ABS(Statements!I14-(Statements!I12-Statements!I13))-MAX(0.01,0.001*ABS(Statements!I14)))</f>
        <v/>
      </c>
      <c r="K5" s="13">
        <f>MAX(0,ABS(Statements!J14-(Statements!J12-Statements!J13))-MAX(0.01,0.001*ABS(Statements!J14)))</f>
        <v/>
      </c>
      <c r="L5" s="13">
        <f>MAX(0,ABS(Statements!K14-(Statements!K12-Statements!K13))-MAX(0.01,0.001*ABS(Statements!K14)))</f>
        <v/>
      </c>
      <c r="M5" s="13">
        <f>MAX(0,ABS(Statements!L14-(Statements!L12-Statements!L13))-MAX(0.01,0.001*ABS(Statements!L14)))</f>
        <v/>
      </c>
      <c r="N5" s="13">
        <f>MAX(0,ABS(Statements!M14-(Statements!M12-Statements!M13))-MAX(0.01,0.001*ABS(Statements!M14)))</f>
        <v/>
      </c>
      <c r="O5" s="13">
        <f>MAX(0,ABS(Statements!N14-(Statements!N12-Statements!N13))-MAX(0.01,0.001*ABS(Statements!N14)))</f>
        <v/>
      </c>
      <c r="P5" s="13">
        <f>MAX(0,ABS(Statements!O14-(Statements!O12-Statements!O13))-MAX(0.01,0.001*ABS(Statements!O14)))</f>
        <v/>
      </c>
      <c r="Q5" s="13">
        <f>MAX(0,ABS(Statements!P14-(Statements!P12-Statements!P13))-MAX(0.01,0.001*ABS(Statements!P14)))</f>
        <v/>
      </c>
      <c r="R5" s="13">
        <f>MAX(0,ABS(Statements!Q14-(Statements!Q12-Statements!Q13))-MAX(0.01,0.001*ABS(Statements!Q14)))</f>
        <v/>
      </c>
      <c r="S5" s="13">
        <f>MAX(0,ABS(Statements!R14-(Statements!R12-Statements!R13))-MAX(0.01,0.001*ABS(Statements!R14)))</f>
        <v/>
      </c>
      <c r="T5" s="13">
        <f>MAX(0,ABS(Statements!S14-(Statements!S12-Statements!S13))-MAX(0.01,0.001*ABS(Statements!S14)))</f>
        <v/>
      </c>
      <c r="U5" s="13">
        <f>MAX(0,ABS(Statements!T14-(Statements!T12-Statements!T13))-MAX(0.01,0.001*ABS(Statements!T14)))</f>
        <v/>
      </c>
      <c r="V5" s="13">
        <f>MAX(0,ABS(Statements!U14-(Statements!U12-Statements!U13))-MAX(0.01,0.001*ABS(Statements!U14)))</f>
        <v/>
      </c>
      <c r="W5" s="13">
        <f>MAX(0,ABS(Statements!V14-(Statements!V12-Statements!V13))-MAX(0.01,0.001*ABS(Statements!V14)))</f>
        <v/>
      </c>
      <c r="X5" s="13">
        <f>MAX(0,ABS(Statements!W14-(Statements!W12-Statements!W13))-MAX(0.01,0.001*ABS(Statements!W14)))</f>
        <v/>
      </c>
      <c r="Y5" s="13">
        <f>MAX(0,ABS(Statements!X14-(Statements!X12-Statements!X13))-MAX(0.01,0.001*ABS(Statements!X14)))</f>
        <v/>
      </c>
      <c r="Z5" s="13">
        <f>MAX(0,ABS(Statements!Y14-(Statements!Y12-Statements!Y13))-MAX(0.01,0.001*ABS(Statements!Y14)))</f>
        <v/>
      </c>
      <c r="AA5" s="13">
        <f>MAX(0,ABS(Statements!Z14-(Statements!Z12-Statements!Z13))-MAX(0.01,0.001*ABS(Statements!Z14)))</f>
        <v/>
      </c>
      <c r="AB5" s="13">
        <f>MAX(0,ABS(Statements!AA14-(Statements!AA12-Statements!AA13))-MAX(0.01,0.001*ABS(Statements!AA14)))</f>
        <v/>
      </c>
      <c r="AC5" s="13">
        <f>MAX(0,ABS(Statements!AB14-(Statements!AB12-Statements!AB13))-MAX(0.01,0.001*ABS(Statements!AB14)))</f>
        <v/>
      </c>
      <c r="AD5" s="13">
        <f>MAX(0,ABS(Statements!AC14-(Statements!AC12-Statements!AC13))-MAX(0.01,0.001*ABS(Statements!AC14)))</f>
        <v/>
      </c>
      <c r="AE5" s="13">
        <f>MAX(0,ABS(Statements!AD14-(Statements!AD12-Statements!AD13))-MAX(0.01,0.001*ABS(Statements!AD14)))</f>
        <v/>
      </c>
      <c r="AF5" s="13">
        <f>MAX(0,ABS(Statements!AE14-(Statements!AE12-Statements!AE13))-MAX(0.01,0.001*ABS(Statements!AE14)))</f>
        <v/>
      </c>
      <c r="AG5" s="13">
        <f>MAX(0,ABS(Statements!AF14-(Statements!AF12-Statements!AF13))-MAX(0.01,0.001*ABS(Statements!AF14)))</f>
        <v/>
      </c>
    </row>
    <row r="6">
      <c r="A6" s="10" t="inlineStr">
        <is>
          <t>revenue = generationGwh * 1000 * achievedPrice / 1e6</t>
        </is>
      </c>
      <c r="B6" s="13">
        <f>MAX(D6:AG6)</f>
        <v/>
      </c>
      <c r="C6">
        <f>IF(B6=0,"PASS","FAIL")</f>
        <v/>
      </c>
      <c r="D6" s="13">
        <f>MAX(0,ABS(Statements!C6-Statements!C3*1000*Statements!C4/1000000)-MAX(0.01,0.001*ABS(Statements!C6)))</f>
        <v/>
      </c>
      <c r="E6" s="13">
        <f>MAX(0,ABS(Statements!D6-Statements!D3*1000*Statements!D4/1000000)-MAX(0.01,0.001*ABS(Statements!D6)))</f>
        <v/>
      </c>
      <c r="F6" s="13">
        <f>MAX(0,ABS(Statements!E6-Statements!E3*1000*Statements!E4/1000000)-MAX(0.01,0.001*ABS(Statements!E6)))</f>
        <v/>
      </c>
      <c r="G6" s="13">
        <f>MAX(0,ABS(Statements!F6-Statements!F3*1000*Statements!F4/1000000)-MAX(0.01,0.001*ABS(Statements!F6)))</f>
        <v/>
      </c>
      <c r="H6" s="13">
        <f>MAX(0,ABS(Statements!G6-Statements!G3*1000*Statements!G4/1000000)-MAX(0.01,0.001*ABS(Statements!G6)))</f>
        <v/>
      </c>
      <c r="I6" s="13">
        <f>MAX(0,ABS(Statements!H6-Statements!H3*1000*Statements!H4/1000000)-MAX(0.01,0.001*ABS(Statements!H6)))</f>
        <v/>
      </c>
      <c r="J6" s="13">
        <f>MAX(0,ABS(Statements!I6-Statements!I3*1000*Statements!I4/1000000)-MAX(0.01,0.001*ABS(Statements!I6)))</f>
        <v/>
      </c>
      <c r="K6" s="13">
        <f>MAX(0,ABS(Statements!J6-Statements!J3*1000*Statements!J4/1000000)-MAX(0.01,0.001*ABS(Statements!J6)))</f>
        <v/>
      </c>
      <c r="L6" s="13">
        <f>MAX(0,ABS(Statements!K6-Statements!K3*1000*Statements!K4/1000000)-MAX(0.01,0.001*ABS(Statements!K6)))</f>
        <v/>
      </c>
      <c r="M6" s="13">
        <f>MAX(0,ABS(Statements!L6-Statements!L3*1000*Statements!L4/1000000)-MAX(0.01,0.001*ABS(Statements!L6)))</f>
        <v/>
      </c>
      <c r="N6" s="13">
        <f>MAX(0,ABS(Statements!M6-Statements!M3*1000*Statements!M4/1000000)-MAX(0.01,0.001*ABS(Statements!M6)))</f>
        <v/>
      </c>
      <c r="O6" s="13">
        <f>MAX(0,ABS(Statements!N6-Statements!N3*1000*Statements!N4/1000000)-MAX(0.01,0.001*ABS(Statements!N6)))</f>
        <v/>
      </c>
      <c r="P6" s="13">
        <f>MAX(0,ABS(Statements!O6-Statements!O3*1000*Statements!O4/1000000)-MAX(0.01,0.001*ABS(Statements!O6)))</f>
        <v/>
      </c>
      <c r="Q6" s="13">
        <f>MAX(0,ABS(Statements!P6-Statements!P3*1000*Statements!P4/1000000)-MAX(0.01,0.001*ABS(Statements!P6)))</f>
        <v/>
      </c>
      <c r="R6" s="13">
        <f>MAX(0,ABS(Statements!Q6-Statements!Q3*1000*Statements!Q4/1000000)-MAX(0.01,0.001*ABS(Statements!Q6)))</f>
        <v/>
      </c>
      <c r="S6" s="13">
        <f>MAX(0,ABS(Statements!R6-Statements!R3*1000*Statements!R4/1000000)-MAX(0.01,0.001*ABS(Statements!R6)))</f>
        <v/>
      </c>
      <c r="T6" s="13">
        <f>MAX(0,ABS(Statements!S6-Statements!S3*1000*Statements!S4/1000000)-MAX(0.01,0.001*ABS(Statements!S6)))</f>
        <v/>
      </c>
      <c r="U6" s="13">
        <f>MAX(0,ABS(Statements!T6-Statements!T3*1000*Statements!T4/1000000)-MAX(0.01,0.001*ABS(Statements!T6)))</f>
        <v/>
      </c>
      <c r="V6" s="13">
        <f>MAX(0,ABS(Statements!U6-Statements!U3*1000*Statements!U4/1000000)-MAX(0.01,0.001*ABS(Statements!U6)))</f>
        <v/>
      </c>
      <c r="W6" s="13">
        <f>MAX(0,ABS(Statements!V6-Statements!V3*1000*Statements!V4/1000000)-MAX(0.01,0.001*ABS(Statements!V6)))</f>
        <v/>
      </c>
      <c r="X6" s="13">
        <f>MAX(0,ABS(Statements!W6-Statements!W3*1000*Statements!W4/1000000)-MAX(0.01,0.001*ABS(Statements!W6)))</f>
        <v/>
      </c>
      <c r="Y6" s="13">
        <f>MAX(0,ABS(Statements!X6-Statements!X3*1000*Statements!X4/1000000)-MAX(0.01,0.001*ABS(Statements!X6)))</f>
        <v/>
      </c>
      <c r="Z6" s="13">
        <f>MAX(0,ABS(Statements!Y6-Statements!Y3*1000*Statements!Y4/1000000)-MAX(0.01,0.001*ABS(Statements!Y6)))</f>
        <v/>
      </c>
      <c r="AA6" s="13">
        <f>MAX(0,ABS(Statements!Z6-Statements!Z3*1000*Statements!Z4/1000000)-MAX(0.01,0.001*ABS(Statements!Z6)))</f>
        <v/>
      </c>
      <c r="AB6" s="13">
        <f>MAX(0,ABS(Statements!AA6-Statements!AA3*1000*Statements!AA4/1000000)-MAX(0.01,0.001*ABS(Statements!AA6)))</f>
        <v/>
      </c>
      <c r="AC6" s="13">
        <f>MAX(0,ABS(Statements!AB6-Statements!AB3*1000*Statements!AB4/1000000)-MAX(0.01,0.001*ABS(Statements!AB6)))</f>
        <v/>
      </c>
      <c r="AD6" s="13">
        <f>MAX(0,ABS(Statements!AC6-Statements!AC3*1000*Statements!AC4/1000000)-MAX(0.01,0.001*ABS(Statements!AC6)))</f>
        <v/>
      </c>
      <c r="AE6" s="13">
        <f>MAX(0,ABS(Statements!AD6-Statements!AD3*1000*Statements!AD4/1000000)-MAX(0.01,0.001*ABS(Statements!AD6)))</f>
        <v/>
      </c>
      <c r="AF6" s="13">
        <f>MAX(0,ABS(Statements!AE6-Statements!AE3*1000*Statements!AE4/1000000)-MAX(0.01,0.001*ABS(Statements!AE6)))</f>
        <v/>
      </c>
      <c r="AG6" s="13">
        <f>MAX(0,ABS(Statements!AF6-Statements!AF3*1000*Statements!AF4/1000000)-MAX(0.01,0.001*ABS(Statements!AF6)))</f>
        <v/>
      </c>
    </row>
    <row r="7">
      <c r="A7" s="10" t="inlineStr">
        <is>
          <t>fcfe = ebitda - interestPaid - debtRepayment - taxPaid - capex + debtDrawdown</t>
        </is>
      </c>
      <c r="B7" s="13">
        <f>MAX(D7:AG7)</f>
        <v/>
      </c>
      <c r="C7">
        <f>IF(B7=0,"PASS","FAIL")</f>
        <v/>
      </c>
      <c r="D7" s="13">
        <f>MAX(0,ABS(Statements!C22-(Statements!C8-Statements!C16-Statements!C17-Statements!C18-Statements!C19+Statements!C20))-MAX(0.01,0.001*ABS(Statements!C22)))</f>
        <v/>
      </c>
      <c r="E7" s="13">
        <f>MAX(0,ABS(Statements!D22-(Statements!D8-Statements!D16-Statements!D17-Statements!D18-Statements!D19+Statements!D20))-MAX(0.01,0.001*ABS(Statements!D22)))</f>
        <v/>
      </c>
      <c r="F7" s="13">
        <f>MAX(0,ABS(Statements!E22-(Statements!E8-Statements!E16-Statements!E17-Statements!E18-Statements!E19+Statements!E20))-MAX(0.01,0.001*ABS(Statements!E22)))</f>
        <v/>
      </c>
      <c r="G7" s="13">
        <f>MAX(0,ABS(Statements!F22-(Statements!F8-Statements!F16-Statements!F17-Statements!F18-Statements!F19+Statements!F20))-MAX(0.01,0.001*ABS(Statements!F22)))</f>
        <v/>
      </c>
      <c r="H7" s="13">
        <f>MAX(0,ABS(Statements!G22-(Statements!G8-Statements!G16-Statements!G17-Statements!G18-Statements!G19+Statements!G20))-MAX(0.01,0.001*ABS(Statements!G22)))</f>
        <v/>
      </c>
      <c r="I7" s="13">
        <f>MAX(0,ABS(Statements!H22-(Statements!H8-Statements!H16-Statements!H17-Statements!H18-Statements!H19+Statements!H20))-MAX(0.01,0.001*ABS(Statements!H22)))</f>
        <v/>
      </c>
      <c r="J7" s="13">
        <f>MAX(0,ABS(Statements!I22-(Statements!I8-Statements!I16-Statements!I17-Statements!I18-Statements!I19+Statements!I20))-MAX(0.01,0.001*ABS(Statements!I22)))</f>
        <v/>
      </c>
      <c r="K7" s="13">
        <f>MAX(0,ABS(Statements!J22-(Statements!J8-Statements!J16-Statements!J17-Statements!J18-Statements!J19+Statements!J20))-MAX(0.01,0.001*ABS(Statements!J22)))</f>
        <v/>
      </c>
      <c r="L7" s="13">
        <f>MAX(0,ABS(Statements!K22-(Statements!K8-Statements!K16-Statements!K17-Statements!K18-Statements!K19+Statements!K20))-MAX(0.01,0.001*ABS(Statements!K22)))</f>
        <v/>
      </c>
      <c r="M7" s="13">
        <f>MAX(0,ABS(Statements!L22-(Statements!L8-Statements!L16-Statements!L17-Statements!L18-Statements!L19+Statements!L20))-MAX(0.01,0.001*ABS(Statements!L22)))</f>
        <v/>
      </c>
      <c r="N7" s="13">
        <f>MAX(0,ABS(Statements!M22-(Statements!M8-Statements!M16-Statements!M17-Statements!M18-Statements!M19+Statements!M20))-MAX(0.01,0.001*ABS(Statements!M22)))</f>
        <v/>
      </c>
      <c r="O7" s="13">
        <f>MAX(0,ABS(Statements!N22-(Statements!N8-Statements!N16-Statements!N17-Statements!N18-Statements!N19+Statements!N20))-MAX(0.01,0.001*ABS(Statements!N22)))</f>
        <v/>
      </c>
      <c r="P7" s="13">
        <f>MAX(0,ABS(Statements!O22-(Statements!O8-Statements!O16-Statements!O17-Statements!O18-Statements!O19+Statements!O20))-MAX(0.01,0.001*ABS(Statements!O22)))</f>
        <v/>
      </c>
      <c r="Q7" s="13">
        <f>MAX(0,ABS(Statements!P22-(Statements!P8-Statements!P16-Statements!P17-Statements!P18-Statements!P19+Statements!P20))-MAX(0.01,0.001*ABS(Statements!P22)))</f>
        <v/>
      </c>
      <c r="R7" s="13">
        <f>MAX(0,ABS(Statements!Q22-(Statements!Q8-Statements!Q16-Statements!Q17-Statements!Q18-Statements!Q19+Statements!Q20))-MAX(0.01,0.001*ABS(Statements!Q22)))</f>
        <v/>
      </c>
      <c r="S7" s="13">
        <f>MAX(0,ABS(Statements!R22-(Statements!R8-Statements!R16-Statements!R17-Statements!R18-Statements!R19+Statements!R20))-MAX(0.01,0.001*ABS(Statements!R22)))</f>
        <v/>
      </c>
      <c r="T7" s="13">
        <f>MAX(0,ABS(Statements!S22-(Statements!S8-Statements!S16-Statements!S17-Statements!S18-Statements!S19+Statements!S20))-MAX(0.01,0.001*ABS(Statements!S22)))</f>
        <v/>
      </c>
      <c r="U7" s="13">
        <f>MAX(0,ABS(Statements!T22-(Statements!T8-Statements!T16-Statements!T17-Statements!T18-Statements!T19+Statements!T20))-MAX(0.01,0.001*ABS(Statements!T22)))</f>
        <v/>
      </c>
      <c r="V7" s="13">
        <f>MAX(0,ABS(Statements!U22-(Statements!U8-Statements!U16-Statements!U17-Statements!U18-Statements!U19+Statements!U20))-MAX(0.01,0.001*ABS(Statements!U22)))</f>
        <v/>
      </c>
      <c r="W7" s="13">
        <f>MAX(0,ABS(Statements!V22-(Statements!V8-Statements!V16-Statements!V17-Statements!V18-Statements!V19+Statements!V20))-MAX(0.01,0.001*ABS(Statements!V22)))</f>
        <v/>
      </c>
      <c r="X7" s="13">
        <f>MAX(0,ABS(Statements!W22-(Statements!W8-Statements!W16-Statements!W17-Statements!W18-Statements!W19+Statements!W20))-MAX(0.01,0.001*ABS(Statements!W22)))</f>
        <v/>
      </c>
      <c r="Y7" s="13">
        <f>MAX(0,ABS(Statements!X22-(Statements!X8-Statements!X16-Statements!X17-Statements!X18-Statements!X19+Statements!X20))-MAX(0.01,0.001*ABS(Statements!X22)))</f>
        <v/>
      </c>
      <c r="Z7" s="13">
        <f>MAX(0,ABS(Statements!Y22-(Statements!Y8-Statements!Y16-Statements!Y17-Statements!Y18-Statements!Y19+Statements!Y20))-MAX(0.01,0.001*ABS(Statements!Y22)))</f>
        <v/>
      </c>
      <c r="AA7" s="13">
        <f>MAX(0,ABS(Statements!Z22-(Statements!Z8-Statements!Z16-Statements!Z17-Statements!Z18-Statements!Z19+Statements!Z20))-MAX(0.01,0.001*ABS(Statements!Z22)))</f>
        <v/>
      </c>
      <c r="AB7" s="13">
        <f>MAX(0,ABS(Statements!AA22-(Statements!AA8-Statements!AA16-Statements!AA17-Statements!AA18-Statements!AA19+Statements!AA20))-MAX(0.01,0.001*ABS(Statements!AA22)))</f>
        <v/>
      </c>
      <c r="AC7" s="13">
        <f>MAX(0,ABS(Statements!AB22-(Statements!AB8-Statements!AB16-Statements!AB17-Statements!AB18-Statements!AB19+Statements!AB20))-MAX(0.01,0.001*ABS(Statements!AB22)))</f>
        <v/>
      </c>
      <c r="AD7" s="13">
        <f>MAX(0,ABS(Statements!AC22-(Statements!AC8-Statements!AC16-Statements!AC17-Statements!AC18-Statements!AC19+Statements!AC20))-MAX(0.01,0.001*ABS(Statements!AC22)))</f>
        <v/>
      </c>
      <c r="AE7" s="13">
        <f>MAX(0,ABS(Statements!AD22-(Statements!AD8-Statements!AD16-Statements!AD17-Statements!AD18-Statements!AD19+Statements!AD20))-MAX(0.01,0.001*ABS(Statements!AD22)))</f>
        <v/>
      </c>
      <c r="AF7" s="13">
        <f>MAX(0,ABS(Statements!AE22-(Statements!AE8-Statements!AE16-Statements!AE17-Statements!AE18-Statements!AE19+Statements!AE20))-MAX(0.01,0.001*ABS(Statements!AE22)))</f>
        <v/>
      </c>
      <c r="AG7" s="13">
        <f>MAX(0,ABS(Statements!AF22-(Statements!AF8-Statements!AF16-Statements!AF17-Statements!AF18-Statements!AF19+Statements!AF20))-MAX(0.01,0.001*ABS(Statements!AF22)))</f>
        <v/>
      </c>
    </row>
    <row r="8">
      <c r="A8" s="10" t="inlineStr">
        <is>
          <t>closing = opening - repayment + drawdown</t>
        </is>
      </c>
      <c r="B8" s="13">
        <f>MAX(D8:AG8)</f>
        <v/>
      </c>
      <c r="C8">
        <f>IF(B8=0,"PASS","FAIL")</f>
        <v/>
      </c>
      <c r="D8" s="13">
        <f>MAX(0,ABS(Statements!C27-(Statements!C24-Statements!C26+Statements!C25))-MAX(0.01,0.001*ABS(Statements!C27)))</f>
        <v/>
      </c>
      <c r="E8" s="13">
        <f>MAX(0,ABS(Statements!D27-(Statements!D24-Statements!D26+Statements!D25))-MAX(0.01,0.001*ABS(Statements!D27)))</f>
        <v/>
      </c>
      <c r="F8" s="13">
        <f>MAX(0,ABS(Statements!E27-(Statements!E24-Statements!E26+Statements!E25))-MAX(0.01,0.001*ABS(Statements!E27)))</f>
        <v/>
      </c>
      <c r="G8" s="13">
        <f>MAX(0,ABS(Statements!F27-(Statements!F24-Statements!F26+Statements!F25))-MAX(0.01,0.001*ABS(Statements!F27)))</f>
        <v/>
      </c>
      <c r="H8" s="13">
        <f>MAX(0,ABS(Statements!G27-(Statements!G24-Statements!G26+Statements!G25))-MAX(0.01,0.001*ABS(Statements!G27)))</f>
        <v/>
      </c>
      <c r="I8" s="13">
        <f>MAX(0,ABS(Statements!H27-(Statements!H24-Statements!H26+Statements!H25))-MAX(0.01,0.001*ABS(Statements!H27)))</f>
        <v/>
      </c>
      <c r="J8" s="13">
        <f>MAX(0,ABS(Statements!I27-(Statements!I24-Statements!I26+Statements!I25))-MAX(0.01,0.001*ABS(Statements!I27)))</f>
        <v/>
      </c>
      <c r="K8" s="13">
        <f>MAX(0,ABS(Statements!J27-(Statements!J24-Statements!J26+Statements!J25))-MAX(0.01,0.001*ABS(Statements!J27)))</f>
        <v/>
      </c>
      <c r="L8" s="13">
        <f>MAX(0,ABS(Statements!K27-(Statements!K24-Statements!K26+Statements!K25))-MAX(0.01,0.001*ABS(Statements!K27)))</f>
        <v/>
      </c>
      <c r="M8" s="13">
        <f>MAX(0,ABS(Statements!L27-(Statements!L24-Statements!L26+Statements!L25))-MAX(0.01,0.001*ABS(Statements!L27)))</f>
        <v/>
      </c>
      <c r="N8" s="13">
        <f>MAX(0,ABS(Statements!M27-(Statements!M24-Statements!M26+Statements!M25))-MAX(0.01,0.001*ABS(Statements!M27)))</f>
        <v/>
      </c>
      <c r="O8" s="13">
        <f>MAX(0,ABS(Statements!N27-(Statements!N24-Statements!N26+Statements!N25))-MAX(0.01,0.001*ABS(Statements!N27)))</f>
        <v/>
      </c>
      <c r="P8" s="13">
        <f>MAX(0,ABS(Statements!O27-(Statements!O24-Statements!O26+Statements!O25))-MAX(0.01,0.001*ABS(Statements!O27)))</f>
        <v/>
      </c>
      <c r="Q8" s="13">
        <f>MAX(0,ABS(Statements!P27-(Statements!P24-Statements!P26+Statements!P25))-MAX(0.01,0.001*ABS(Statements!P27)))</f>
        <v/>
      </c>
      <c r="R8" s="13">
        <f>MAX(0,ABS(Statements!Q27-(Statements!Q24-Statements!Q26+Statements!Q25))-MAX(0.01,0.001*ABS(Statements!Q27)))</f>
        <v/>
      </c>
      <c r="S8" s="13">
        <f>MAX(0,ABS(Statements!R27-(Statements!R24-Statements!R26+Statements!R25))-MAX(0.01,0.001*ABS(Statements!R27)))</f>
        <v/>
      </c>
      <c r="T8" s="13">
        <f>MAX(0,ABS(Statements!S27-(Statements!S24-Statements!S26+Statements!S25))-MAX(0.01,0.001*ABS(Statements!S27)))</f>
        <v/>
      </c>
      <c r="U8" s="13">
        <f>MAX(0,ABS(Statements!T27-(Statements!T24-Statements!T26+Statements!T25))-MAX(0.01,0.001*ABS(Statements!T27)))</f>
        <v/>
      </c>
      <c r="V8" s="13">
        <f>MAX(0,ABS(Statements!U27-(Statements!U24-Statements!U26+Statements!U25))-MAX(0.01,0.001*ABS(Statements!U27)))</f>
        <v/>
      </c>
      <c r="W8" s="13">
        <f>MAX(0,ABS(Statements!V27-(Statements!V24-Statements!V26+Statements!V25))-MAX(0.01,0.001*ABS(Statements!V27)))</f>
        <v/>
      </c>
      <c r="X8" s="13">
        <f>MAX(0,ABS(Statements!W27-(Statements!W24-Statements!W26+Statements!W25))-MAX(0.01,0.001*ABS(Statements!W27)))</f>
        <v/>
      </c>
      <c r="Y8" s="13">
        <f>MAX(0,ABS(Statements!X27-(Statements!X24-Statements!X26+Statements!X25))-MAX(0.01,0.001*ABS(Statements!X27)))</f>
        <v/>
      </c>
      <c r="Z8" s="13">
        <f>MAX(0,ABS(Statements!Y27-(Statements!Y24-Statements!Y26+Statements!Y25))-MAX(0.01,0.001*ABS(Statements!Y27)))</f>
        <v/>
      </c>
      <c r="AA8" s="13">
        <f>MAX(0,ABS(Statements!Z27-(Statements!Z24-Statements!Z26+Statements!Z25))-MAX(0.01,0.001*ABS(Statements!Z27)))</f>
        <v/>
      </c>
      <c r="AB8" s="13">
        <f>MAX(0,ABS(Statements!AA27-(Statements!AA24-Statements!AA26+Statements!AA25))-MAX(0.01,0.001*ABS(Statements!AA27)))</f>
        <v/>
      </c>
      <c r="AC8" s="13">
        <f>MAX(0,ABS(Statements!AB27-(Statements!AB24-Statements!AB26+Statements!AB25))-MAX(0.01,0.001*ABS(Statements!AB27)))</f>
        <v/>
      </c>
      <c r="AD8" s="13">
        <f>MAX(0,ABS(Statements!AC27-(Statements!AC24-Statements!AC26+Statements!AC25))-MAX(0.01,0.001*ABS(Statements!AC27)))</f>
        <v/>
      </c>
      <c r="AE8" s="13">
        <f>MAX(0,ABS(Statements!AD27-(Statements!AD24-Statements!AD26+Statements!AD25))-MAX(0.01,0.001*ABS(Statements!AD27)))</f>
        <v/>
      </c>
      <c r="AF8" s="13">
        <f>MAX(0,ABS(Statements!AE27-(Statements!AE24-Statements!AE26+Statements!AE25))-MAX(0.01,0.001*ABS(Statements!AE27)))</f>
        <v/>
      </c>
      <c r="AG8" s="13">
        <f>MAX(0,ABS(Statements!AF27-(Statements!AF24-Statements!AF26+Statements!AF25))-MAX(0.01,0.001*ABS(Statements!AF27)))</f>
        <v/>
      </c>
    </row>
    <row r="9">
      <c r="A9" s="10" t="inlineStr">
        <is>
          <t>opening[t] = closing[t-1], and opening[0] = 0</t>
        </is>
      </c>
      <c r="B9" s="13">
        <f>MAX(D9:AG9)</f>
        <v/>
      </c>
      <c r="C9">
        <f>IF(B9=0,"PASS","FAIL")</f>
        <v/>
      </c>
      <c r="D9" s="13">
        <f>MAX(0,ABS(Statements!C24)-MAX(0.01,0.001*ABS(0)))</f>
        <v/>
      </c>
      <c r="E9" s="13">
        <f>MAX(0,ABS(Statements!D24-Statements!C27)-MAX(0.01,0.001*ABS(Statements!D24)))</f>
        <v/>
      </c>
      <c r="F9" s="13">
        <f>MAX(0,ABS(Statements!E24-Statements!D27)-MAX(0.01,0.001*ABS(Statements!E24)))</f>
        <v/>
      </c>
      <c r="G9" s="13">
        <f>MAX(0,ABS(Statements!F24-Statements!E27)-MAX(0.01,0.001*ABS(Statements!F24)))</f>
        <v/>
      </c>
      <c r="H9" s="13">
        <f>MAX(0,ABS(Statements!G24-Statements!F27)-MAX(0.01,0.001*ABS(Statements!G24)))</f>
        <v/>
      </c>
      <c r="I9" s="13">
        <f>MAX(0,ABS(Statements!H24-Statements!G27)-MAX(0.01,0.001*ABS(Statements!H24)))</f>
        <v/>
      </c>
      <c r="J9" s="13">
        <f>MAX(0,ABS(Statements!I24-Statements!H27)-MAX(0.01,0.001*ABS(Statements!I24)))</f>
        <v/>
      </c>
      <c r="K9" s="13">
        <f>MAX(0,ABS(Statements!J24-Statements!I27)-MAX(0.01,0.001*ABS(Statements!J24)))</f>
        <v/>
      </c>
      <c r="L9" s="13">
        <f>MAX(0,ABS(Statements!K24-Statements!J27)-MAX(0.01,0.001*ABS(Statements!K24)))</f>
        <v/>
      </c>
      <c r="M9" s="13">
        <f>MAX(0,ABS(Statements!L24-Statements!K27)-MAX(0.01,0.001*ABS(Statements!L24)))</f>
        <v/>
      </c>
      <c r="N9" s="13">
        <f>MAX(0,ABS(Statements!M24-Statements!L27)-MAX(0.01,0.001*ABS(Statements!M24)))</f>
        <v/>
      </c>
      <c r="O9" s="13">
        <f>MAX(0,ABS(Statements!N24-Statements!M27)-MAX(0.01,0.001*ABS(Statements!N24)))</f>
        <v/>
      </c>
      <c r="P9" s="13">
        <f>MAX(0,ABS(Statements!O24-Statements!N27)-MAX(0.01,0.001*ABS(Statements!O24)))</f>
        <v/>
      </c>
      <c r="Q9" s="13">
        <f>MAX(0,ABS(Statements!P24-Statements!O27)-MAX(0.01,0.001*ABS(Statements!P24)))</f>
        <v/>
      </c>
      <c r="R9" s="13">
        <f>MAX(0,ABS(Statements!Q24-Statements!P27)-MAX(0.01,0.001*ABS(Statements!Q24)))</f>
        <v/>
      </c>
      <c r="S9" s="13">
        <f>MAX(0,ABS(Statements!R24-Statements!Q27)-MAX(0.01,0.001*ABS(Statements!R24)))</f>
        <v/>
      </c>
      <c r="T9" s="13">
        <f>MAX(0,ABS(Statements!S24-Statements!R27)-MAX(0.01,0.001*ABS(Statements!S24)))</f>
        <v/>
      </c>
      <c r="U9" s="13">
        <f>MAX(0,ABS(Statements!T24-Statements!S27)-MAX(0.01,0.001*ABS(Statements!T24)))</f>
        <v/>
      </c>
      <c r="V9" s="13">
        <f>MAX(0,ABS(Statements!U24-Statements!T27)-MAX(0.01,0.001*ABS(Statements!U24)))</f>
        <v/>
      </c>
      <c r="W9" s="13">
        <f>MAX(0,ABS(Statements!V24-Statements!U27)-MAX(0.01,0.001*ABS(Statements!V24)))</f>
        <v/>
      </c>
      <c r="X9" s="13">
        <f>MAX(0,ABS(Statements!W24-Statements!V27)-MAX(0.01,0.001*ABS(Statements!W24)))</f>
        <v/>
      </c>
      <c r="Y9" s="13">
        <f>MAX(0,ABS(Statements!X24-Statements!W27)-MAX(0.01,0.001*ABS(Statements!X24)))</f>
        <v/>
      </c>
      <c r="Z9" s="13">
        <f>MAX(0,ABS(Statements!Y24-Statements!X27)-MAX(0.01,0.001*ABS(Statements!Y24)))</f>
        <v/>
      </c>
      <c r="AA9" s="13">
        <f>MAX(0,ABS(Statements!Z24-Statements!Y27)-MAX(0.01,0.001*ABS(Statements!Z24)))</f>
        <v/>
      </c>
      <c r="AB9" s="13">
        <f>MAX(0,ABS(Statements!AA24-Statements!Z27)-MAX(0.01,0.001*ABS(Statements!AA24)))</f>
        <v/>
      </c>
      <c r="AC9" s="13">
        <f>MAX(0,ABS(Statements!AB24-Statements!AA27)-MAX(0.01,0.001*ABS(Statements!AB24)))</f>
        <v/>
      </c>
      <c r="AD9" s="13">
        <f>MAX(0,ABS(Statements!AC24-Statements!AB27)-MAX(0.01,0.001*ABS(Statements!AC24)))</f>
        <v/>
      </c>
      <c r="AE9" s="13">
        <f>MAX(0,ABS(Statements!AD24-Statements!AC27)-MAX(0.01,0.001*ABS(Statements!AD24)))</f>
        <v/>
      </c>
      <c r="AF9" s="13">
        <f>MAX(0,ABS(Statements!AE24-Statements!AD27)-MAX(0.01,0.001*ABS(Statements!AE24)))</f>
        <v/>
      </c>
      <c r="AG9" s="13">
        <f>MAX(0,ABS(Statements!AF24-Statements!AE27)-MAX(0.01,0.001*ABS(Statements!AF24)))</f>
        <v/>
      </c>
    </row>
    <row r="10">
      <c r="A10" s="10" t="inlineStr">
        <is>
          <t>ppe[t] = ppe[t-1] - depreciation[t] + capex[t]</t>
        </is>
      </c>
      <c r="B10" s="13">
        <f>MAX(D10:AG10)</f>
        <v/>
      </c>
      <c r="C10">
        <f>IF(B10=0,"PASS","FAIL")</f>
        <v/>
      </c>
      <c r="D10" s="13">
        <f>MAX(0,ABS(Statements!C29-(0-Statements!C9+Statements!C19))-MAX(0.01,0.001*ABS(Statements!C29)))</f>
        <v/>
      </c>
      <c r="E10" s="13">
        <f>MAX(0,ABS(Statements!D29-(Statements!C29-Statements!D9+Statements!D19))-MAX(0.01,0.001*ABS(Statements!D29)))</f>
        <v/>
      </c>
      <c r="F10" s="13">
        <f>MAX(0,ABS(Statements!E29-(Statements!D29-Statements!E9+Statements!E19))-MAX(0.01,0.001*ABS(Statements!E29)))</f>
        <v/>
      </c>
      <c r="G10" s="13">
        <f>MAX(0,ABS(Statements!F29-(Statements!E29-Statements!F9+Statements!F19))-MAX(0.01,0.001*ABS(Statements!F29)))</f>
        <v/>
      </c>
      <c r="H10" s="13">
        <f>MAX(0,ABS(Statements!G29-(Statements!F29-Statements!G9+Statements!G19))-MAX(0.01,0.001*ABS(Statements!G29)))</f>
        <v/>
      </c>
      <c r="I10" s="13">
        <f>MAX(0,ABS(Statements!H29-(Statements!G29-Statements!H9+Statements!H19))-MAX(0.01,0.001*ABS(Statements!H29)))</f>
        <v/>
      </c>
      <c r="J10" s="13">
        <f>MAX(0,ABS(Statements!I29-(Statements!H29-Statements!I9+Statements!I19))-MAX(0.01,0.001*ABS(Statements!I29)))</f>
        <v/>
      </c>
      <c r="K10" s="13">
        <f>MAX(0,ABS(Statements!J29-(Statements!I29-Statements!J9+Statements!J19))-MAX(0.01,0.001*ABS(Statements!J29)))</f>
        <v/>
      </c>
      <c r="L10" s="13">
        <f>MAX(0,ABS(Statements!K29-(Statements!J29-Statements!K9+Statements!K19))-MAX(0.01,0.001*ABS(Statements!K29)))</f>
        <v/>
      </c>
      <c r="M10" s="13">
        <f>MAX(0,ABS(Statements!L29-(Statements!K29-Statements!L9+Statements!L19))-MAX(0.01,0.001*ABS(Statements!L29)))</f>
        <v/>
      </c>
      <c r="N10" s="13">
        <f>MAX(0,ABS(Statements!M29-(Statements!L29-Statements!M9+Statements!M19))-MAX(0.01,0.001*ABS(Statements!M29)))</f>
        <v/>
      </c>
      <c r="O10" s="13">
        <f>MAX(0,ABS(Statements!N29-(Statements!M29-Statements!N9+Statements!N19))-MAX(0.01,0.001*ABS(Statements!N29)))</f>
        <v/>
      </c>
      <c r="P10" s="13">
        <f>MAX(0,ABS(Statements!O29-(Statements!N29-Statements!O9+Statements!O19))-MAX(0.01,0.001*ABS(Statements!O29)))</f>
        <v/>
      </c>
      <c r="Q10" s="13">
        <f>MAX(0,ABS(Statements!P29-(Statements!O29-Statements!P9+Statements!P19))-MAX(0.01,0.001*ABS(Statements!P29)))</f>
        <v/>
      </c>
      <c r="R10" s="13">
        <f>MAX(0,ABS(Statements!Q29-(Statements!P29-Statements!Q9+Statements!Q19))-MAX(0.01,0.001*ABS(Statements!Q29)))</f>
        <v/>
      </c>
      <c r="S10" s="13">
        <f>MAX(0,ABS(Statements!R29-(Statements!Q29-Statements!R9+Statements!R19))-MAX(0.01,0.001*ABS(Statements!R29)))</f>
        <v/>
      </c>
      <c r="T10" s="13">
        <f>MAX(0,ABS(Statements!S29-(Statements!R29-Statements!S9+Statements!S19))-MAX(0.01,0.001*ABS(Statements!S29)))</f>
        <v/>
      </c>
      <c r="U10" s="13">
        <f>MAX(0,ABS(Statements!T29-(Statements!S29-Statements!T9+Statements!T19))-MAX(0.01,0.001*ABS(Statements!T29)))</f>
        <v/>
      </c>
      <c r="V10" s="13">
        <f>MAX(0,ABS(Statements!U29-(Statements!T29-Statements!U9+Statements!U19))-MAX(0.01,0.001*ABS(Statements!U29)))</f>
        <v/>
      </c>
      <c r="W10" s="13">
        <f>MAX(0,ABS(Statements!V29-(Statements!U29-Statements!V9+Statements!V19))-MAX(0.01,0.001*ABS(Statements!V29)))</f>
        <v/>
      </c>
      <c r="X10" s="13">
        <f>MAX(0,ABS(Statements!W29-(Statements!V29-Statements!W9+Statements!W19))-MAX(0.01,0.001*ABS(Statements!W29)))</f>
        <v/>
      </c>
      <c r="Y10" s="13">
        <f>MAX(0,ABS(Statements!X29-(Statements!W29-Statements!X9+Statements!X19))-MAX(0.01,0.001*ABS(Statements!X29)))</f>
        <v/>
      </c>
      <c r="Z10" s="13">
        <f>MAX(0,ABS(Statements!Y29-(Statements!X29-Statements!Y9+Statements!Y19))-MAX(0.01,0.001*ABS(Statements!Y29)))</f>
        <v/>
      </c>
      <c r="AA10" s="13">
        <f>MAX(0,ABS(Statements!Z29-(Statements!Y29-Statements!Z9+Statements!Z19))-MAX(0.01,0.001*ABS(Statements!Z29)))</f>
        <v/>
      </c>
      <c r="AB10" s="13">
        <f>MAX(0,ABS(Statements!AA29-(Statements!Z29-Statements!AA9+Statements!AA19))-MAX(0.01,0.001*ABS(Statements!AA29)))</f>
        <v/>
      </c>
      <c r="AC10" s="13">
        <f>MAX(0,ABS(Statements!AB29-(Statements!AA29-Statements!AB9+Statements!AB19))-MAX(0.01,0.001*ABS(Statements!AB29)))</f>
        <v/>
      </c>
      <c r="AD10" s="13">
        <f>MAX(0,ABS(Statements!AC29-(Statements!AB29-Statements!AC9+Statements!AC19))-MAX(0.01,0.001*ABS(Statements!AC29)))</f>
        <v/>
      </c>
      <c r="AE10" s="13">
        <f>MAX(0,ABS(Statements!AD29-(Statements!AC29-Statements!AD9+Statements!AD19))-MAX(0.01,0.001*ABS(Statements!AD29)))</f>
        <v/>
      </c>
      <c r="AF10" s="13">
        <f>MAX(0,ABS(Statements!AE29-(Statements!AD29-Statements!AE9+Statements!AE19))-MAX(0.01,0.001*ABS(Statements!AE29)))</f>
        <v/>
      </c>
      <c r="AG10" s="13">
        <f>MAX(0,ABS(Statements!AF29-(Statements!AE29-Statements!AF9+Statements!AF19))-MAX(0.01,0.001*ABS(Statements!AF29)))</f>
        <v/>
      </c>
    </row>
    <row r="11">
      <c r="A11" s="10" t="inlineStr">
        <is>
          <t>capex = debtDrawdown + equityDrawdown</t>
        </is>
      </c>
      <c r="B11" s="13">
        <f>MAX(D11:AG11)</f>
        <v/>
      </c>
      <c r="C11">
        <f>IF(B11=0,"PASS","FAIL")</f>
        <v/>
      </c>
      <c r="D11" s="13">
        <f>MAX(0,ABS(Statements!C19-(Statements!C20+Statements!C21))-MAX(0.01,0.001*ABS(Statements!C19)))</f>
        <v/>
      </c>
      <c r="E11" s="13">
        <f>MAX(0,ABS(Statements!D19-(Statements!D20+Statements!D21))-MAX(0.01,0.001*ABS(Statements!D19)))</f>
        <v/>
      </c>
      <c r="F11" s="13">
        <f>MAX(0,ABS(Statements!E19-(Statements!E20+Statements!E21))-MAX(0.01,0.001*ABS(Statements!E19)))</f>
        <v/>
      </c>
      <c r="G11" s="13">
        <f>MAX(0,ABS(Statements!F19-(Statements!F20+Statements!F21))-MAX(0.01,0.001*ABS(Statements!F19)))</f>
        <v/>
      </c>
      <c r="H11" s="13">
        <f>MAX(0,ABS(Statements!G19-(Statements!G20+Statements!G21))-MAX(0.01,0.001*ABS(Statements!G19)))</f>
        <v/>
      </c>
      <c r="I11" s="13">
        <f>MAX(0,ABS(Statements!H19-(Statements!H20+Statements!H21))-MAX(0.01,0.001*ABS(Statements!H19)))</f>
        <v/>
      </c>
      <c r="J11" s="13">
        <f>MAX(0,ABS(Statements!I19-(Statements!I20+Statements!I21))-MAX(0.01,0.001*ABS(Statements!I19)))</f>
        <v/>
      </c>
      <c r="K11" s="13">
        <f>MAX(0,ABS(Statements!J19-(Statements!J20+Statements!J21))-MAX(0.01,0.001*ABS(Statements!J19)))</f>
        <v/>
      </c>
      <c r="L11" s="13">
        <f>MAX(0,ABS(Statements!K19-(Statements!K20+Statements!K21))-MAX(0.01,0.001*ABS(Statements!K19)))</f>
        <v/>
      </c>
      <c r="M11" s="13">
        <f>MAX(0,ABS(Statements!L19-(Statements!L20+Statements!L21))-MAX(0.01,0.001*ABS(Statements!L19)))</f>
        <v/>
      </c>
      <c r="N11" s="13">
        <f>MAX(0,ABS(Statements!M19-(Statements!M20+Statements!M21))-MAX(0.01,0.001*ABS(Statements!M19)))</f>
        <v/>
      </c>
      <c r="O11" s="13">
        <f>MAX(0,ABS(Statements!N19-(Statements!N20+Statements!N21))-MAX(0.01,0.001*ABS(Statements!N19)))</f>
        <v/>
      </c>
      <c r="P11" s="13">
        <f>MAX(0,ABS(Statements!O19-(Statements!O20+Statements!O21))-MAX(0.01,0.001*ABS(Statements!O19)))</f>
        <v/>
      </c>
      <c r="Q11" s="13">
        <f>MAX(0,ABS(Statements!P19-(Statements!P20+Statements!P21))-MAX(0.01,0.001*ABS(Statements!P19)))</f>
        <v/>
      </c>
      <c r="R11" s="13">
        <f>MAX(0,ABS(Statements!Q19-(Statements!Q20+Statements!Q21))-MAX(0.01,0.001*ABS(Statements!Q19)))</f>
        <v/>
      </c>
      <c r="S11" s="13">
        <f>MAX(0,ABS(Statements!R19-(Statements!R20+Statements!R21))-MAX(0.01,0.001*ABS(Statements!R19)))</f>
        <v/>
      </c>
      <c r="T11" s="13">
        <f>MAX(0,ABS(Statements!S19-(Statements!S20+Statements!S21))-MAX(0.01,0.001*ABS(Statements!S19)))</f>
        <v/>
      </c>
      <c r="U11" s="13">
        <f>MAX(0,ABS(Statements!T19-(Statements!T20+Statements!T21))-MAX(0.01,0.001*ABS(Statements!T19)))</f>
        <v/>
      </c>
      <c r="V11" s="13">
        <f>MAX(0,ABS(Statements!U19-(Statements!U20+Statements!U21))-MAX(0.01,0.001*ABS(Statements!U19)))</f>
        <v/>
      </c>
      <c r="W11" s="13">
        <f>MAX(0,ABS(Statements!V19-(Statements!V20+Statements!V21))-MAX(0.01,0.001*ABS(Statements!V19)))</f>
        <v/>
      </c>
      <c r="X11" s="13">
        <f>MAX(0,ABS(Statements!W19-(Statements!W20+Statements!W21))-MAX(0.01,0.001*ABS(Statements!W19)))</f>
        <v/>
      </c>
      <c r="Y11" s="13">
        <f>MAX(0,ABS(Statements!X19-(Statements!X20+Statements!X21))-MAX(0.01,0.001*ABS(Statements!X19)))</f>
        <v/>
      </c>
      <c r="Z11" s="13">
        <f>MAX(0,ABS(Statements!Y19-(Statements!Y20+Statements!Y21))-MAX(0.01,0.001*ABS(Statements!Y19)))</f>
        <v/>
      </c>
      <c r="AA11" s="13">
        <f>MAX(0,ABS(Statements!Z19-(Statements!Z20+Statements!Z21))-MAX(0.01,0.001*ABS(Statements!Z19)))</f>
        <v/>
      </c>
      <c r="AB11" s="13">
        <f>MAX(0,ABS(Statements!AA19-(Statements!AA20+Statements!AA21))-MAX(0.01,0.001*ABS(Statements!AA19)))</f>
        <v/>
      </c>
      <c r="AC11" s="13">
        <f>MAX(0,ABS(Statements!AB19-(Statements!AB20+Statements!AB21))-MAX(0.01,0.001*ABS(Statements!AB19)))</f>
        <v/>
      </c>
      <c r="AD11" s="13">
        <f>MAX(0,ABS(Statements!AC19-(Statements!AC20+Statements!AC21))-MAX(0.01,0.001*ABS(Statements!AC19)))</f>
        <v/>
      </c>
      <c r="AE11" s="13">
        <f>MAX(0,ABS(Statements!AD19-(Statements!AD20+Statements!AD21))-MAX(0.01,0.001*ABS(Statements!AD19)))</f>
        <v/>
      </c>
      <c r="AF11" s="13">
        <f>MAX(0,ABS(Statements!AE19-(Statements!AE20+Statements!AE21))-MAX(0.01,0.001*ABS(Statements!AE19)))</f>
        <v/>
      </c>
      <c r="AG11" s="13">
        <f>MAX(0,ABS(Statements!AF19-(Statements!AF20+Statements!AF21))-MAX(0.01,0.001*ABS(Statements!AF19)))</f>
        <v/>
      </c>
    </row>
    <row r="12">
      <c r="A12" s="10" t="inlineStr">
        <is>
          <t>dscr is present exactly inside the debt life</t>
        </is>
      </c>
      <c r="B12" s="13">
        <f>MAX(D12:AG12)</f>
        <v/>
      </c>
      <c r="C12">
        <f>IF(B12=0,"PASS","FAIL")</f>
        <v/>
      </c>
      <c r="D12" s="13">
        <f>IF(AND(Statements!$C$1&gt;=Identity!$B$13,Statements!$C$1&lt;Identity!$B$13+Assumptions!$B$6)=(Statements!C31&lt;&gt;""),0,1)</f>
        <v/>
      </c>
      <c r="E12" s="13">
        <f>IF(AND(Statements!$D$1&gt;=Identity!$B$13,Statements!$D$1&lt;Identity!$B$13+Assumptions!$B$6)=(Statements!D31&lt;&gt;""),0,1)</f>
        <v/>
      </c>
      <c r="F12" s="13">
        <f>IF(AND(Statements!$E$1&gt;=Identity!$B$13,Statements!$E$1&lt;Identity!$B$13+Assumptions!$B$6)=(Statements!E31&lt;&gt;""),0,1)</f>
        <v/>
      </c>
      <c r="G12" s="13">
        <f>IF(AND(Statements!$F$1&gt;=Identity!$B$13,Statements!$F$1&lt;Identity!$B$13+Assumptions!$B$6)=(Statements!F31&lt;&gt;""),0,1)</f>
        <v/>
      </c>
      <c r="H12" s="13">
        <f>IF(AND(Statements!$G$1&gt;=Identity!$B$13,Statements!$G$1&lt;Identity!$B$13+Assumptions!$B$6)=(Statements!G31&lt;&gt;""),0,1)</f>
        <v/>
      </c>
      <c r="I12" s="13">
        <f>IF(AND(Statements!$H$1&gt;=Identity!$B$13,Statements!$H$1&lt;Identity!$B$13+Assumptions!$B$6)=(Statements!H31&lt;&gt;""),0,1)</f>
        <v/>
      </c>
      <c r="J12" s="13">
        <f>IF(AND(Statements!$I$1&gt;=Identity!$B$13,Statements!$I$1&lt;Identity!$B$13+Assumptions!$B$6)=(Statements!I31&lt;&gt;""),0,1)</f>
        <v/>
      </c>
      <c r="K12" s="13">
        <f>IF(AND(Statements!$J$1&gt;=Identity!$B$13,Statements!$J$1&lt;Identity!$B$13+Assumptions!$B$6)=(Statements!J31&lt;&gt;""),0,1)</f>
        <v/>
      </c>
      <c r="L12" s="13">
        <f>IF(AND(Statements!$K$1&gt;=Identity!$B$13,Statements!$K$1&lt;Identity!$B$13+Assumptions!$B$6)=(Statements!K31&lt;&gt;""),0,1)</f>
        <v/>
      </c>
      <c r="M12" s="13">
        <f>IF(AND(Statements!$L$1&gt;=Identity!$B$13,Statements!$L$1&lt;Identity!$B$13+Assumptions!$B$6)=(Statements!L31&lt;&gt;""),0,1)</f>
        <v/>
      </c>
      <c r="N12" s="13">
        <f>IF(AND(Statements!$M$1&gt;=Identity!$B$13,Statements!$M$1&lt;Identity!$B$13+Assumptions!$B$6)=(Statements!M31&lt;&gt;""),0,1)</f>
        <v/>
      </c>
      <c r="O12" s="13">
        <f>IF(AND(Statements!$N$1&gt;=Identity!$B$13,Statements!$N$1&lt;Identity!$B$13+Assumptions!$B$6)=(Statements!N31&lt;&gt;""),0,1)</f>
        <v/>
      </c>
      <c r="P12" s="13">
        <f>IF(AND(Statements!$O$1&gt;=Identity!$B$13,Statements!$O$1&lt;Identity!$B$13+Assumptions!$B$6)=(Statements!O31&lt;&gt;""),0,1)</f>
        <v/>
      </c>
      <c r="Q12" s="13">
        <f>IF(AND(Statements!$P$1&gt;=Identity!$B$13,Statements!$P$1&lt;Identity!$B$13+Assumptions!$B$6)=(Statements!P31&lt;&gt;""),0,1)</f>
        <v/>
      </c>
      <c r="R12" s="13">
        <f>IF(AND(Statements!$Q$1&gt;=Identity!$B$13,Statements!$Q$1&lt;Identity!$B$13+Assumptions!$B$6)=(Statements!Q31&lt;&gt;""),0,1)</f>
        <v/>
      </c>
      <c r="S12" s="13">
        <f>IF(AND(Statements!$R$1&gt;=Identity!$B$13,Statements!$R$1&lt;Identity!$B$13+Assumptions!$B$6)=(Statements!R31&lt;&gt;""),0,1)</f>
        <v/>
      </c>
      <c r="T12" s="13">
        <f>IF(AND(Statements!$S$1&gt;=Identity!$B$13,Statements!$S$1&lt;Identity!$B$13+Assumptions!$B$6)=(Statements!S31&lt;&gt;""),0,1)</f>
        <v/>
      </c>
      <c r="U12" s="13">
        <f>IF(AND(Statements!$T$1&gt;=Identity!$B$13,Statements!$T$1&lt;Identity!$B$13+Assumptions!$B$6)=(Statements!T31&lt;&gt;""),0,1)</f>
        <v/>
      </c>
      <c r="V12" s="13">
        <f>IF(AND(Statements!$U$1&gt;=Identity!$B$13,Statements!$U$1&lt;Identity!$B$13+Assumptions!$B$6)=(Statements!U31&lt;&gt;""),0,1)</f>
        <v/>
      </c>
      <c r="W12" s="13">
        <f>IF(AND(Statements!$V$1&gt;=Identity!$B$13,Statements!$V$1&lt;Identity!$B$13+Assumptions!$B$6)=(Statements!V31&lt;&gt;""),0,1)</f>
        <v/>
      </c>
      <c r="X12" s="13">
        <f>IF(AND(Statements!$W$1&gt;=Identity!$B$13,Statements!$W$1&lt;Identity!$B$13+Assumptions!$B$6)=(Statements!W31&lt;&gt;""),0,1)</f>
        <v/>
      </c>
      <c r="Y12" s="13">
        <f>IF(AND(Statements!$X$1&gt;=Identity!$B$13,Statements!$X$1&lt;Identity!$B$13+Assumptions!$B$6)=(Statements!X31&lt;&gt;""),0,1)</f>
        <v/>
      </c>
      <c r="Z12" s="13">
        <f>IF(AND(Statements!$Y$1&gt;=Identity!$B$13,Statements!$Y$1&lt;Identity!$B$13+Assumptions!$B$6)=(Statements!Y31&lt;&gt;""),0,1)</f>
        <v/>
      </c>
      <c r="AA12" s="13">
        <f>IF(AND(Statements!$Z$1&gt;=Identity!$B$13,Statements!$Z$1&lt;Identity!$B$13+Assumptions!$B$6)=(Statements!Z31&lt;&gt;""),0,1)</f>
        <v/>
      </c>
      <c r="AB12" s="13">
        <f>IF(AND(Statements!$AA$1&gt;=Identity!$B$13,Statements!$AA$1&lt;Identity!$B$13+Assumptions!$B$6)=(Statements!AA31&lt;&gt;""),0,1)</f>
        <v/>
      </c>
      <c r="AC12" s="13">
        <f>IF(AND(Statements!$AB$1&gt;=Identity!$B$13,Statements!$AB$1&lt;Identity!$B$13+Assumptions!$B$6)=(Statements!AB31&lt;&gt;""),0,1)</f>
        <v/>
      </c>
      <c r="AD12" s="13">
        <f>IF(AND(Statements!$AC$1&gt;=Identity!$B$13,Statements!$AC$1&lt;Identity!$B$13+Assumptions!$B$6)=(Statements!AC31&lt;&gt;""),0,1)</f>
        <v/>
      </c>
      <c r="AE12" s="13">
        <f>IF(AND(Statements!$AD$1&gt;=Identity!$B$13,Statements!$AD$1&lt;Identity!$B$13+Assumptions!$B$6)=(Statements!AD31&lt;&gt;""),0,1)</f>
        <v/>
      </c>
      <c r="AF12" s="13">
        <f>IF(AND(Statements!$AE$1&gt;=Identity!$B$13,Statements!$AE$1&lt;Identity!$B$13+Assumptions!$B$6)=(Statements!AE31&lt;&gt;""),0,1)</f>
        <v/>
      </c>
      <c r="AG12" s="13">
        <f>IF(AND(Statements!$AF$1&gt;=Identity!$B$13,Statements!$AF$1&lt;Identity!$B$13+Assumptions!$B$6)=(Statements!AF31&lt;&gt;""),0,1)</f>
        <v/>
      </c>
    </row>
    <row r="13">
      <c r="A13" s="10" t="inlineStr">
        <is>
          <t>dscr = ebitda / (interestPaid + debtRepayment)</t>
        </is>
      </c>
      <c r="B13" s="13">
        <f>MAX(D13:AG13)</f>
        <v/>
      </c>
      <c r="C13">
        <f>IF(B13=0,"PASS","FAIL")</f>
        <v/>
      </c>
      <c r="D13" s="13">
        <f>IF(OR(Statements!C31="",Statements!C16+Statements!C17=0),0,MAX(0,ABS(Statements!C31-Statements!C8/(Statements!C16+Statements!C17))-MAX(0.001,0.001*ABS(Statements!C31))))</f>
        <v/>
      </c>
      <c r="E13" s="13">
        <f>IF(OR(Statements!D31="",Statements!D16+Statements!D17=0),0,MAX(0,ABS(Statements!D31-Statements!D8/(Statements!D16+Statements!D17))-MAX(0.001,0.001*ABS(Statements!D31))))</f>
        <v/>
      </c>
      <c r="F13" s="13">
        <f>IF(OR(Statements!E31="",Statements!E16+Statements!E17=0),0,MAX(0,ABS(Statements!E31-Statements!E8/(Statements!E16+Statements!E17))-MAX(0.001,0.001*ABS(Statements!E31))))</f>
        <v/>
      </c>
      <c r="G13" s="13">
        <f>IF(OR(Statements!F31="",Statements!F16+Statements!F17=0),0,MAX(0,ABS(Statements!F31-Statements!F8/(Statements!F16+Statements!F17))-MAX(0.001,0.001*ABS(Statements!F31))))</f>
        <v/>
      </c>
      <c r="H13" s="13">
        <f>IF(OR(Statements!G31="",Statements!G16+Statements!G17=0),0,MAX(0,ABS(Statements!G31-Statements!G8/(Statements!G16+Statements!G17))-MAX(0.001,0.001*ABS(Statements!G31))))</f>
        <v/>
      </c>
      <c r="I13" s="13">
        <f>IF(OR(Statements!H31="",Statements!H16+Statements!H17=0),0,MAX(0,ABS(Statements!H31-Statements!H8/(Statements!H16+Statements!H17))-MAX(0.001,0.001*ABS(Statements!H31))))</f>
        <v/>
      </c>
      <c r="J13" s="13">
        <f>IF(OR(Statements!I31="",Statements!I16+Statements!I17=0),0,MAX(0,ABS(Statements!I31-Statements!I8/(Statements!I16+Statements!I17))-MAX(0.001,0.001*ABS(Statements!I31))))</f>
        <v/>
      </c>
      <c r="K13" s="13">
        <f>IF(OR(Statements!J31="",Statements!J16+Statements!J17=0),0,MAX(0,ABS(Statements!J31-Statements!J8/(Statements!J16+Statements!J17))-MAX(0.001,0.001*ABS(Statements!J31))))</f>
        <v/>
      </c>
      <c r="L13" s="13">
        <f>IF(OR(Statements!K31="",Statements!K16+Statements!K17=0),0,MAX(0,ABS(Statements!K31-Statements!K8/(Statements!K16+Statements!K17))-MAX(0.001,0.001*ABS(Statements!K31))))</f>
        <v/>
      </c>
      <c r="M13" s="13">
        <f>IF(OR(Statements!L31="",Statements!L16+Statements!L17=0),0,MAX(0,ABS(Statements!L31-Statements!L8/(Statements!L16+Statements!L17))-MAX(0.001,0.001*ABS(Statements!L31))))</f>
        <v/>
      </c>
      <c r="N13" s="13">
        <f>IF(OR(Statements!M31="",Statements!M16+Statements!M17=0),0,MAX(0,ABS(Statements!M31-Statements!M8/(Statements!M16+Statements!M17))-MAX(0.001,0.001*ABS(Statements!M31))))</f>
        <v/>
      </c>
      <c r="O13" s="13">
        <f>IF(OR(Statements!N31="",Statements!N16+Statements!N17=0),0,MAX(0,ABS(Statements!N31-Statements!N8/(Statements!N16+Statements!N17))-MAX(0.001,0.001*ABS(Statements!N31))))</f>
        <v/>
      </c>
      <c r="P13" s="13">
        <f>IF(OR(Statements!O31="",Statements!O16+Statements!O17=0),0,MAX(0,ABS(Statements!O31-Statements!O8/(Statements!O16+Statements!O17))-MAX(0.001,0.001*ABS(Statements!O31))))</f>
        <v/>
      </c>
      <c r="Q13" s="13">
        <f>IF(OR(Statements!P31="",Statements!P16+Statements!P17=0),0,MAX(0,ABS(Statements!P31-Statements!P8/(Statements!P16+Statements!P17))-MAX(0.001,0.001*ABS(Statements!P31))))</f>
        <v/>
      </c>
      <c r="R13" s="13">
        <f>IF(OR(Statements!Q31="",Statements!Q16+Statements!Q17=0),0,MAX(0,ABS(Statements!Q31-Statements!Q8/(Statements!Q16+Statements!Q17))-MAX(0.001,0.001*ABS(Statements!Q31))))</f>
        <v/>
      </c>
      <c r="S13" s="13">
        <f>IF(OR(Statements!R31="",Statements!R16+Statements!R17=0),0,MAX(0,ABS(Statements!R31-Statements!R8/(Statements!R16+Statements!R17))-MAX(0.001,0.001*ABS(Statements!R31))))</f>
        <v/>
      </c>
      <c r="T13" s="13">
        <f>IF(OR(Statements!S31="",Statements!S16+Statements!S17=0),0,MAX(0,ABS(Statements!S31-Statements!S8/(Statements!S16+Statements!S17))-MAX(0.001,0.001*ABS(Statements!S31))))</f>
        <v/>
      </c>
      <c r="U13" s="13">
        <f>IF(OR(Statements!T31="",Statements!T16+Statements!T17=0),0,MAX(0,ABS(Statements!T31-Statements!T8/(Statements!T16+Statements!T17))-MAX(0.001,0.001*ABS(Statements!T31))))</f>
        <v/>
      </c>
      <c r="V13" s="13">
        <f>IF(OR(Statements!U31="",Statements!U16+Statements!U17=0),0,MAX(0,ABS(Statements!U31-Statements!U8/(Statements!U16+Statements!U17))-MAX(0.001,0.001*ABS(Statements!U31))))</f>
        <v/>
      </c>
      <c r="W13" s="13">
        <f>IF(OR(Statements!V31="",Statements!V16+Statements!V17=0),0,MAX(0,ABS(Statements!V31-Statements!V8/(Statements!V16+Statements!V17))-MAX(0.001,0.001*ABS(Statements!V31))))</f>
        <v/>
      </c>
      <c r="X13" s="13">
        <f>IF(OR(Statements!W31="",Statements!W16+Statements!W17=0),0,MAX(0,ABS(Statements!W31-Statements!W8/(Statements!W16+Statements!W17))-MAX(0.001,0.001*ABS(Statements!W31))))</f>
        <v/>
      </c>
      <c r="Y13" s="13">
        <f>IF(OR(Statements!X31="",Statements!X16+Statements!X17=0),0,MAX(0,ABS(Statements!X31-Statements!X8/(Statements!X16+Statements!X17))-MAX(0.001,0.001*ABS(Statements!X31))))</f>
        <v/>
      </c>
      <c r="Z13" s="13">
        <f>IF(OR(Statements!Y31="",Statements!Y16+Statements!Y17=0),0,MAX(0,ABS(Statements!Y31-Statements!Y8/(Statements!Y16+Statements!Y17))-MAX(0.001,0.001*ABS(Statements!Y31))))</f>
        <v/>
      </c>
      <c r="AA13" s="13">
        <f>IF(OR(Statements!Z31="",Statements!Z16+Statements!Z17=0),0,MAX(0,ABS(Statements!Z31-Statements!Z8/(Statements!Z16+Statements!Z17))-MAX(0.001,0.001*ABS(Statements!Z31))))</f>
        <v/>
      </c>
      <c r="AB13" s="13">
        <f>IF(OR(Statements!AA31="",Statements!AA16+Statements!AA17=0),0,MAX(0,ABS(Statements!AA31-Statements!AA8/(Statements!AA16+Statements!AA17))-MAX(0.001,0.001*ABS(Statements!AA31))))</f>
        <v/>
      </c>
      <c r="AC13" s="13">
        <f>IF(OR(Statements!AB31="",Statements!AB16+Statements!AB17=0),0,MAX(0,ABS(Statements!AB31-Statements!AB8/(Statements!AB16+Statements!AB17))-MAX(0.001,0.001*ABS(Statements!AB31))))</f>
        <v/>
      </c>
      <c r="AD13" s="13">
        <f>IF(OR(Statements!AC31="",Statements!AC16+Statements!AC17=0),0,MAX(0,ABS(Statements!AC31-Statements!AC8/(Statements!AC16+Statements!AC17))-MAX(0.001,0.001*ABS(Statements!AC31))))</f>
        <v/>
      </c>
      <c r="AE13" s="13">
        <f>IF(OR(Statements!AD31="",Statements!AD16+Statements!AD17=0),0,MAX(0,ABS(Statements!AD31-Statements!AD8/(Statements!AD16+Statements!AD17))-MAX(0.001,0.001*ABS(Statements!AD31))))</f>
        <v/>
      </c>
      <c r="AF13" s="13">
        <f>IF(OR(Statements!AE31="",Statements!AE16+Statements!AE17=0),0,MAX(0,ABS(Statements!AE31-Statements!AE8/(Statements!AE16+Statements!AE17))-MAX(0.001,0.001*ABS(Statements!AE31))))</f>
        <v/>
      </c>
      <c r="AG13" s="13">
        <f>IF(OR(Statements!AF31="",Statements!AF16+Statements!AF17=0),0,MAX(0,ABS(Statements!AF31-Statements!AF8/(Statements!AF16+Statements!AF17))-MAX(0.001,0.001*ABS(Statements!AF31))))</f>
        <v/>
      </c>
    </row>
    <row r="14">
      <c r="A14" s="10" t="inlineStr">
        <is>
          <t>closing[last] = 0</t>
        </is>
      </c>
      <c r="B14" s="13">
        <f>MAX(0,ABS(Statements!AF27)-MAX(0.01,0.001*ABS(0)))</f>
        <v/>
      </c>
      <c r="C14">
        <f>IF(B14=0,"PASS","FAIL")</f>
        <v/>
      </c>
    </row>
    <row r="15">
      <c r="A15" s="10" t="inlineStr">
        <is>
          <t>sum debtDrawdown = seniorDebt</t>
        </is>
      </c>
      <c r="B15" s="13">
        <f>MAX(0,ABS(SUM(Statements!$C$20:$AF$20)-Identity!$B$26)-MAX(0.01,0.001*ABS(Identity!$B$26)))</f>
        <v/>
      </c>
      <c r="C15">
        <f>IF(B15=0,"PASS","FAIL")</f>
        <v/>
      </c>
    </row>
    <row r="16">
      <c r="A16" s="10" t="inlineStr">
        <is>
          <t>sum equityDrawdown = totalCapex - seniorDebt</t>
        </is>
      </c>
      <c r="B16" s="13">
        <f>MAX(0,ABS(SUM(Statements!$C$21:$AF$21)-(Identity!$B$25-Identity!$B$26))-MAX(0.01,0.001*ABS(Identity!$B$25-Identity!$B$26)))</f>
        <v/>
      </c>
      <c r="C16">
        <f>IF(B16=0,"PASS","FAIL")</f>
        <v/>
      </c>
    </row>
    <row r="17">
      <c r="A17" s="10" t="inlineStr">
        <is>
          <t>sum capex = totalCapex</t>
        </is>
      </c>
      <c r="B17" s="13">
        <f>MAX(0,ABS(SUM(Statements!$C$19:$AF$19)-Identity!$B$25)-MAX(0.01,0.001*ABS(Identity!$B$25)))</f>
        <v/>
      </c>
      <c r="C17">
        <f>IF(B17=0,"PASS","FAIL")</f>
        <v/>
      </c>
    </row>
    <row r="18">
      <c r="A18" s="10" t="inlineStr">
        <is>
          <t>sum depreciation = totalCapex - ppe[last]</t>
        </is>
      </c>
      <c r="B18" s="13">
        <f>MAX(0,ABS(SUM(Statements!$C$9:$AF$9)-(Identity!$B$25-Statements!AF29))-MAX(0.01,0.001*ABS(Identity!$B$25)))</f>
        <v/>
      </c>
      <c r="C18">
        <f>IF(B18=0,"PASS","FAIL")</f>
        <v/>
      </c>
    </row>
    <row r="19">
      <c r="A19" s="10" t="inlineStr">
        <is>
          <t>taxExpense = taxRate * max(0, pbt)   [warn]</t>
        </is>
      </c>
      <c r="B19" s="13">
        <f>MAX(0,ABS(SUM(Statements!$C$13:$AF$13)-Assumptions!$B$3*SUMPRODUCT((Statements!$C$12:$AF$12&gt;0)*Statements!$C$12:$AF$12))-MAX(0.01,0.001*ABS(SUM(Statements!$C$13:$AF$13))))</f>
        <v/>
      </c>
      <c r="C19">
        <f>IF(B19=0,"PASS","FAIL")</f>
        <v/>
      </c>
    </row>
    <row r="21">
      <c r="A21" s="5" t="inlineStr">
        <is>
          <t>Live formulas against Statements, Identity and Assumptions. Each cell holds the BREACH over tolerance -- max(0, |residual| - max(absolute, 0.1% of the line)) -- so zero means the year is inside tolerance and any non-zero cell names the year that is not. The absolute limb is EUR 0.01m for a money line and 0.001 for the DSCR ratio, from the assumption set. Every check must read PASS before the file is loaded; the last one is a plausibility warning, not a blocker.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2026-09-21T19:40:25Z</dcterms:created>
  <dcterms:modified xsi:type="dcterms:W3CDTF">2026-09-21T19:40:25Z</dcterms:modified>
</cp:coreProperties>
</file>